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Nina\Documents\Timesheet\TimesheetLite\"/>
    </mc:Choice>
  </mc:AlternateContent>
  <bookViews>
    <workbookView xWindow="0" yWindow="0" windowWidth="24000" windowHeight="9330"/>
  </bookViews>
  <sheets>
    <sheet name="Form" sheetId="1" r:id="rId1"/>
    <sheet name="NOTES" sheetId="2" r:id="rId2"/>
    <sheet name="Jobcodes" sheetId="4" r:id="rId3"/>
    <sheet name="Status" sheetId="5" r:id="rId4"/>
  </sheets>
  <definedNames>
    <definedName name="JOBCODES">Jobcodes!$A$3:$C$76</definedName>
    <definedName name="_xlnm.Print_Area" localSheetId="0">Form!$A$1:$U$56</definedName>
  </definedNames>
  <calcPr calcId="162913"/>
</workbook>
</file>

<file path=xl/calcChain.xml><?xml version="1.0" encoding="utf-8"?>
<calcChain xmlns="http://schemas.openxmlformats.org/spreadsheetml/2006/main">
  <c r="E5" i="1" l="1"/>
  <c r="E6" i="1" s="1"/>
  <c r="F55" i="1" l="1"/>
  <c r="G55" i="1"/>
  <c r="H55" i="1"/>
  <c r="I55" i="1"/>
  <c r="J55" i="1"/>
  <c r="K55" i="1"/>
  <c r="L55" i="1"/>
  <c r="M55" i="1"/>
  <c r="N55" i="1"/>
  <c r="O55" i="1"/>
  <c r="P55" i="1"/>
  <c r="Q55" i="1"/>
  <c r="R55" i="1"/>
  <c r="S55" i="1"/>
  <c r="T55" i="1"/>
  <c r="U52" i="1"/>
  <c r="U49" i="1"/>
  <c r="U46" i="1"/>
  <c r="U43" i="1"/>
  <c r="U40" i="1"/>
  <c r="U37" i="1"/>
  <c r="U34" i="1"/>
  <c r="U31" i="1"/>
  <c r="U28" i="1"/>
  <c r="U25" i="1"/>
  <c r="U22" i="1"/>
  <c r="U19" i="1"/>
  <c r="U16" i="1"/>
  <c r="E55" i="1" l="1"/>
  <c r="U55" i="1" s="1"/>
  <c r="U21" i="1" l="1"/>
  <c r="U18" i="1" l="1"/>
  <c r="E53" i="1" l="1"/>
  <c r="E54" i="1"/>
  <c r="E56" i="1" l="1"/>
  <c r="F54" i="1"/>
  <c r="G54" i="1"/>
  <c r="H54" i="1"/>
  <c r="I54" i="1"/>
  <c r="J54" i="1"/>
  <c r="K54" i="1"/>
  <c r="L54" i="1"/>
  <c r="M54" i="1"/>
  <c r="N54" i="1"/>
  <c r="O54" i="1"/>
  <c r="P54" i="1"/>
  <c r="Q54" i="1"/>
  <c r="R54" i="1"/>
  <c r="S54" i="1"/>
  <c r="T54" i="1"/>
  <c r="F53" i="1"/>
  <c r="G53" i="1"/>
  <c r="H53" i="1"/>
  <c r="I53" i="1"/>
  <c r="J53" i="1"/>
  <c r="K53" i="1"/>
  <c r="L53" i="1"/>
  <c r="M53" i="1"/>
  <c r="N53" i="1"/>
  <c r="O53" i="1"/>
  <c r="P53" i="1"/>
  <c r="Q53" i="1"/>
  <c r="R53" i="1"/>
  <c r="S53" i="1"/>
  <c r="T53" i="1"/>
  <c r="K56" i="1" l="1"/>
  <c r="G56" i="1"/>
  <c r="S56" i="1"/>
  <c r="O56" i="1"/>
  <c r="R56" i="1"/>
  <c r="N56" i="1"/>
  <c r="J56" i="1"/>
  <c r="F56" i="1"/>
  <c r="Q56" i="1"/>
  <c r="M56" i="1"/>
  <c r="I56" i="1"/>
  <c r="T56" i="1"/>
  <c r="P56" i="1"/>
  <c r="L56" i="1"/>
  <c r="H56" i="1"/>
  <c r="U51" i="1"/>
  <c r="U50" i="1"/>
  <c r="U48" i="1"/>
  <c r="U47" i="1"/>
  <c r="U45" i="1"/>
  <c r="U44" i="1"/>
  <c r="F5" i="1" l="1"/>
  <c r="F6" i="1" s="1"/>
  <c r="U71" i="1"/>
  <c r="U70" i="1"/>
  <c r="U69" i="1"/>
  <c r="U68" i="1"/>
  <c r="U67" i="1"/>
  <c r="U66" i="1"/>
  <c r="U65" i="1"/>
  <c r="U64" i="1"/>
  <c r="U63" i="1"/>
  <c r="U17" i="1"/>
  <c r="U14" i="1"/>
  <c r="U15" i="1"/>
  <c r="U20" i="1"/>
  <c r="U23" i="1"/>
  <c r="U24" i="1"/>
  <c r="U26" i="1"/>
  <c r="U27" i="1"/>
  <c r="U29" i="1"/>
  <c r="U30" i="1"/>
  <c r="U32" i="1"/>
  <c r="U33" i="1"/>
  <c r="U35" i="1"/>
  <c r="U36" i="1"/>
  <c r="U38" i="1"/>
  <c r="U39" i="1"/>
  <c r="U41" i="1"/>
  <c r="U42" i="1"/>
  <c r="U54" i="1" l="1"/>
  <c r="U53" i="1"/>
  <c r="G5" i="1"/>
  <c r="G6" i="1" s="1"/>
  <c r="U56" i="1" l="1"/>
  <c r="H5" i="1"/>
  <c r="H6" i="1" s="1"/>
  <c r="I5" i="1" l="1"/>
  <c r="I6" i="1" s="1"/>
  <c r="J5" i="1" l="1"/>
  <c r="J6" i="1" s="1"/>
  <c r="K5" i="1" l="1"/>
  <c r="K6" i="1" s="1"/>
  <c r="L5" i="1" l="1"/>
  <c r="L6" i="1" s="1"/>
  <c r="M5" i="1" l="1"/>
  <c r="M6" i="1" s="1"/>
  <c r="N5" i="1" l="1"/>
  <c r="N6" i="1" s="1"/>
  <c r="O5" i="1" l="1"/>
  <c r="O6" i="1" s="1"/>
  <c r="P5" i="1" l="1"/>
  <c r="P6" i="1" s="1"/>
  <c r="Q5" i="1" l="1"/>
  <c r="Q6" i="1" s="1"/>
  <c r="R5" i="1" l="1"/>
  <c r="R6" i="1" s="1"/>
  <c r="S5" i="1" l="1"/>
  <c r="S6" i="1" s="1"/>
  <c r="T5" i="1" l="1"/>
  <c r="T6" i="1" s="1"/>
</calcChain>
</file>

<file path=xl/comments1.xml><?xml version="1.0" encoding="utf-8"?>
<comments xmlns="http://schemas.openxmlformats.org/spreadsheetml/2006/main">
  <authors>
    <author>A satisfied Microsoft Office user</author>
    <author>John Karlo M. Picazo</author>
    <author>hb</author>
    <author>Norman Panganiban</author>
  </authors>
  <commentList>
    <comment ref="H1" authorId="0" shapeId="0">
      <text>
        <r>
          <rPr>
            <sz val="9"/>
            <color indexed="81"/>
            <rFont val="Tahoma"/>
            <family val="2"/>
          </rPr>
          <t>Year</t>
        </r>
      </text>
    </comment>
    <comment ref="L1" authorId="0" shapeId="0">
      <text>
        <r>
          <rPr>
            <sz val="9"/>
            <color indexed="81"/>
            <rFont val="Tahoma"/>
            <family val="2"/>
          </rPr>
          <t>Month:</t>
        </r>
      </text>
    </comment>
    <comment ref="P1" authorId="0" shapeId="0">
      <text>
        <r>
          <rPr>
            <sz val="9"/>
            <color indexed="81"/>
            <rFont val="Tahoma"/>
            <family val="2"/>
          </rPr>
          <t>Period:
1:  First Period
2:  Second Period</t>
        </r>
      </text>
    </comment>
    <comment ref="M3" authorId="1" shapeId="0">
      <text>
        <r>
          <rPr>
            <b/>
            <sz val="8"/>
            <color indexed="81"/>
            <rFont val="Tahoma"/>
            <family val="2"/>
          </rPr>
          <t>Employee No.</t>
        </r>
      </text>
    </comment>
    <comment ref="O3" authorId="1" shapeId="0">
      <text>
        <r>
          <rPr>
            <b/>
            <sz val="8"/>
            <color indexed="81"/>
            <rFont val="Tahoma"/>
            <family val="2"/>
          </rPr>
          <t>Team Abbreviation</t>
        </r>
        <r>
          <rPr>
            <sz val="8"/>
            <color indexed="81"/>
            <rFont val="Tahoma"/>
            <family val="2"/>
          </rPr>
          <t xml:space="preserve">
</t>
        </r>
      </text>
    </comment>
    <comment ref="Q3" authorId="2" shapeId="0">
      <text>
        <r>
          <rPr>
            <b/>
            <sz val="8"/>
            <color indexed="81"/>
            <rFont val="Tahoma"/>
            <family val="2"/>
          </rPr>
          <t>Employee Name:
FirstName MI LastName</t>
        </r>
      </text>
    </comment>
    <comment ref="C12" authorId="3" shapeId="0">
      <text>
        <r>
          <rPr>
            <sz val="9"/>
            <color indexed="81"/>
            <rFont val="Tahoma"/>
            <family val="2"/>
          </rPr>
          <t>Select the job code from the drop down list.  Selecting any other item will cause an error.</t>
        </r>
      </text>
    </comment>
    <comment ref="D12" authorId="3" shapeId="0">
      <text>
        <r>
          <rPr>
            <sz val="9"/>
            <color indexed="81"/>
            <rFont val="Tahoma"/>
            <family val="2"/>
          </rPr>
          <t>Usable Manhours will be shown on this line.
Yellow Background: unallocated
Red Background: over-allocated
No Display: all allocated</t>
        </r>
      </text>
    </comment>
    <comment ref="D13" authorId="3" shapeId="0">
      <text>
        <r>
          <rPr>
            <sz val="9"/>
            <color indexed="81"/>
            <rFont val="Tahoma"/>
            <family val="2"/>
          </rPr>
          <t>Warnings will be shown as comments on the cells in this line.  Mouse-over to view.  All must be clear before submission.</t>
        </r>
      </text>
    </comment>
  </commentList>
</comments>
</file>

<file path=xl/sharedStrings.xml><?xml version="1.0" encoding="utf-8"?>
<sst xmlns="http://schemas.openxmlformats.org/spreadsheetml/2006/main" count="671" uniqueCount="479">
  <si>
    <t>Month:</t>
  </si>
  <si>
    <t>Emp.No:</t>
  </si>
  <si>
    <t>Working Time</t>
  </si>
  <si>
    <t>From</t>
  </si>
  <si>
    <t>To</t>
  </si>
  <si>
    <t>Dep.Code</t>
  </si>
  <si>
    <t>GRAND</t>
  </si>
  <si>
    <t>TOTAL</t>
  </si>
  <si>
    <t>ROT</t>
  </si>
  <si>
    <t>POT</t>
  </si>
  <si>
    <r>
      <t>Name :</t>
    </r>
    <r>
      <rPr>
        <u/>
        <sz val="9"/>
        <rFont val="Arial"/>
        <family val="2"/>
      </rPr>
      <t xml:space="preserve">                                             </t>
    </r>
  </si>
  <si>
    <t>Time Sheet Year:</t>
  </si>
  <si>
    <t>Place :   JP : Japan,  PH : Philippines or Place other than Japan (Singapore etc.)</t>
  </si>
  <si>
    <t>Job Code:</t>
  </si>
  <si>
    <t>X-X-XX-XXX-XXXX :</t>
  </si>
  <si>
    <t>Job Code which is given by manager at the beginning of Project.</t>
  </si>
  <si>
    <t xml:space="preserve"> -Z :</t>
  </si>
  <si>
    <t>Job Category Code of JPI which is given by JPI's Manager.</t>
  </si>
  <si>
    <t xml:space="preserve"> -1 means [Job from clients]</t>
  </si>
  <si>
    <t xml:space="preserve"> -2 means [JPI's Internal Job]</t>
  </si>
  <si>
    <t xml:space="preserve"> -3 means [Training by Instructor]</t>
  </si>
  <si>
    <t xml:space="preserve"> -6 means [Self Education]</t>
  </si>
  <si>
    <t xml:space="preserve"> -7 means [Others]</t>
  </si>
  <si>
    <t xml:space="preserve"> - Emergency Leave</t>
  </si>
  <si>
    <t>NS</t>
  </si>
  <si>
    <t>IL</t>
  </si>
  <si>
    <t>EF</t>
  </si>
  <si>
    <t>UL</t>
  </si>
  <si>
    <t>eg.</t>
  </si>
  <si>
    <r>
      <t>Jan</t>
    </r>
    <r>
      <rPr>
        <sz val="11"/>
        <rFont val="ＭＳ Ｐゴシック"/>
        <family val="3"/>
        <charset val="128"/>
      </rPr>
      <t xml:space="preserve"> for January</t>
    </r>
  </si>
  <si>
    <r>
      <t>Feb</t>
    </r>
    <r>
      <rPr>
        <sz val="11"/>
        <rFont val="ＭＳ Ｐゴシック"/>
        <family val="3"/>
        <charset val="128"/>
      </rPr>
      <t xml:space="preserve"> for February </t>
    </r>
  </si>
  <si>
    <t>and so on</t>
  </si>
  <si>
    <t>Enter the Time-In and Time-Out hour for the day</t>
  </si>
  <si>
    <t>The user can enter the first three (3) letters of the month</t>
  </si>
  <si>
    <t>The user can enter the month in the lower or upper case letters</t>
  </si>
  <si>
    <t>where:</t>
  </si>
  <si>
    <t>Current month (08 for August)</t>
  </si>
  <si>
    <t>Current year (00 for the year 2000)</t>
  </si>
  <si>
    <t>The employee nickname</t>
  </si>
  <si>
    <t>For the First Period of the month (1 for Days 1- 15, 2 for Days 16-28/29/30/31)</t>
  </si>
  <si>
    <t>00</t>
  </si>
  <si>
    <t>08</t>
  </si>
  <si>
    <t>b</t>
  </si>
  <si>
    <t>randy</t>
  </si>
  <si>
    <t>The user must enter the 4-digit year</t>
  </si>
  <si>
    <t>The user must enter 1 (for the 1st Period) or 2 (for the 2nd Period)</t>
  </si>
  <si>
    <t>Please follow these steps for the man-hour automation</t>
  </si>
  <si>
    <t>The JPI timesheet file naming convention will still be followed.</t>
  </si>
  <si>
    <t xml:space="preserve">Enter the man-hour(s) for the succeeding jobcodes.  These man-hour(s) will be automatically deducted from </t>
  </si>
  <si>
    <t xml:space="preserve">The total man-hour for each day is automatically computed and displayed at the R/T, ROT, and POT cells </t>
  </si>
  <si>
    <t>accordingly, of the first jobcode.</t>
  </si>
  <si>
    <t>R/T, ROT, and POT cells accordingly.</t>
  </si>
  <si>
    <t>I</t>
  </si>
  <si>
    <t>Entering the Month, Year, and Period</t>
  </si>
  <si>
    <t>II</t>
  </si>
  <si>
    <t>III</t>
  </si>
  <si>
    <t>IV</t>
  </si>
  <si>
    <t>Man-Hour Automation</t>
  </si>
  <si>
    <t>Timesheet File Naming Convention</t>
  </si>
  <si>
    <t>0008b_randy.xls</t>
  </si>
  <si>
    <t>.xls</t>
  </si>
  <si>
    <t>Microsoft Excel file extension</t>
  </si>
  <si>
    <t>Note:</t>
  </si>
  <si>
    <t>V</t>
  </si>
  <si>
    <r>
      <t xml:space="preserve">JPI </t>
    </r>
    <r>
      <rPr>
        <sz val="11"/>
        <rFont val="ＭＳ Ｐゴシック"/>
        <family val="3"/>
        <charset val="128"/>
      </rPr>
      <t>follows the Military Time format HH:MM</t>
    </r>
  </si>
  <si>
    <t>The user can enter 24:00 or 0:00 for 12:00am</t>
  </si>
  <si>
    <t>VI</t>
  </si>
  <si>
    <t>Status</t>
  </si>
  <si>
    <t>Team:</t>
  </si>
  <si>
    <t>Period:</t>
    <phoneticPr fontId="21"/>
  </si>
  <si>
    <t>A</t>
    <phoneticPr fontId="21"/>
  </si>
  <si>
    <t>B</t>
    <phoneticPr fontId="21"/>
  </si>
  <si>
    <t>GUIDELINES FOR USING THE TIMESHEET</t>
    <phoneticPr fontId="21"/>
  </si>
  <si>
    <t>C</t>
    <phoneticPr fontId="21"/>
  </si>
  <si>
    <t>added in the list.  Just follow the format of the Jobcode-Description in the list.</t>
    <phoneticPr fontId="21"/>
  </si>
  <si>
    <t xml:space="preserve">After adding a Jobcode, close the timesheet then open it again, the new Jobcode will now be available </t>
    <phoneticPr fontId="21"/>
  </si>
  <si>
    <t>Break Time</t>
    <phoneticPr fontId="21"/>
  </si>
  <si>
    <t>REVISION HISTORY</t>
    <phoneticPr fontId="21"/>
  </si>
  <si>
    <t>SYMBOLS</t>
    <phoneticPr fontId="21"/>
  </si>
  <si>
    <t>Note1:</t>
    <phoneticPr fontId="21"/>
  </si>
  <si>
    <t>Note2:</t>
    <phoneticPr fontId="21"/>
  </si>
  <si>
    <t>Note3:</t>
    <phoneticPr fontId="21"/>
  </si>
  <si>
    <r>
      <t>R</t>
    </r>
    <r>
      <rPr>
        <sz val="11"/>
        <rFont val="ＭＳ Ｐゴシック"/>
        <family val="3"/>
        <charset val="128"/>
      </rPr>
      <t>T</t>
    </r>
    <phoneticPr fontId="21"/>
  </si>
  <si>
    <r>
      <t xml:space="preserve"> - </t>
    </r>
    <r>
      <rPr>
        <sz val="11"/>
        <rFont val="ＭＳ Ｐゴシック"/>
        <family val="3"/>
        <charset val="128"/>
      </rPr>
      <t>Regular Time</t>
    </r>
    <phoneticPr fontId="21"/>
  </si>
  <si>
    <r>
      <t xml:space="preserve"> - Regular Over</t>
    </r>
    <r>
      <rPr>
        <sz val="11"/>
        <rFont val="ＭＳ Ｐゴシック"/>
        <family val="3"/>
        <charset val="128"/>
      </rPr>
      <t>t</t>
    </r>
    <r>
      <rPr>
        <sz val="11"/>
        <rFont val="ＭＳ Ｐゴシック"/>
        <family val="3"/>
        <charset val="128"/>
      </rPr>
      <t>ime</t>
    </r>
    <phoneticPr fontId="21"/>
  </si>
  <si>
    <r>
      <t xml:space="preserve"> -</t>
    </r>
    <r>
      <rPr>
        <sz val="11"/>
        <rFont val="ＭＳ Ｐゴシック"/>
        <family val="3"/>
        <charset val="128"/>
      </rPr>
      <t xml:space="preserve"> </t>
    </r>
    <r>
      <rPr>
        <sz val="11"/>
        <rFont val="ＭＳ Ｐゴシック"/>
        <family val="3"/>
        <charset val="128"/>
      </rPr>
      <t>Prime Over</t>
    </r>
    <r>
      <rPr>
        <sz val="11"/>
        <rFont val="ＭＳ Ｐゴシック"/>
        <family val="3"/>
        <charset val="128"/>
      </rPr>
      <t>t</t>
    </r>
    <r>
      <rPr>
        <sz val="11"/>
        <rFont val="ＭＳ Ｐゴシック"/>
        <family val="3"/>
        <charset val="128"/>
      </rPr>
      <t>ime</t>
    </r>
    <phoneticPr fontId="21"/>
  </si>
  <si>
    <t>ML</t>
    <phoneticPr fontId="21"/>
  </si>
  <si>
    <r>
      <t xml:space="preserve"> - </t>
    </r>
    <r>
      <rPr>
        <sz val="11"/>
        <rFont val="ＭＳ Ｐゴシック"/>
        <family val="3"/>
        <charset val="128"/>
      </rPr>
      <t>Maternity</t>
    </r>
    <r>
      <rPr>
        <sz val="11"/>
        <rFont val="ＭＳ Ｐゴシック"/>
        <family val="3"/>
        <charset val="128"/>
      </rPr>
      <t xml:space="preserve"> Leave</t>
    </r>
    <phoneticPr fontId="21"/>
  </si>
  <si>
    <r>
      <t xml:space="preserve"> - </t>
    </r>
    <r>
      <rPr>
        <sz val="11"/>
        <rFont val="ＭＳ Ｐゴシック"/>
        <family val="3"/>
        <charset val="128"/>
      </rPr>
      <t>Paternity Leave</t>
    </r>
    <phoneticPr fontId="21"/>
  </si>
  <si>
    <r>
      <t xml:space="preserve"> -</t>
    </r>
    <r>
      <rPr>
        <sz val="11"/>
        <rFont val="ＭＳ Ｐゴシック"/>
        <family val="3"/>
        <charset val="128"/>
      </rPr>
      <t xml:space="preserve"> </t>
    </r>
    <r>
      <rPr>
        <sz val="11"/>
        <rFont val="ＭＳ Ｐゴシック"/>
        <family val="3"/>
        <charset val="128"/>
      </rPr>
      <t>Night Shift</t>
    </r>
    <phoneticPr fontId="21"/>
  </si>
  <si>
    <r>
      <t xml:space="preserve"> -</t>
    </r>
    <r>
      <rPr>
        <sz val="11"/>
        <rFont val="ＭＳ Ｐゴシック"/>
        <family val="3"/>
        <charset val="128"/>
      </rPr>
      <t xml:space="preserve"> </t>
    </r>
    <r>
      <rPr>
        <sz val="11"/>
        <rFont val="ＭＳ Ｐゴシック"/>
        <family val="3"/>
        <charset val="128"/>
      </rPr>
      <t>Incentive Leave</t>
    </r>
    <phoneticPr fontId="21"/>
  </si>
  <si>
    <r>
      <t xml:space="preserve"> -</t>
    </r>
    <r>
      <rPr>
        <sz val="11"/>
        <rFont val="ＭＳ Ｐゴシック"/>
        <family val="3"/>
        <charset val="128"/>
      </rPr>
      <t xml:space="preserve"> </t>
    </r>
    <r>
      <rPr>
        <sz val="11"/>
        <rFont val="ＭＳ Ｐゴシック"/>
        <family val="3"/>
        <charset val="128"/>
      </rPr>
      <t>Early Finish</t>
    </r>
    <phoneticPr fontId="21"/>
  </si>
  <si>
    <r>
      <t>LA</t>
    </r>
    <r>
      <rPr>
        <sz val="11"/>
        <rFont val="ＭＳ Ｐゴシック"/>
        <family val="3"/>
        <charset val="128"/>
      </rPr>
      <t>P</t>
    </r>
    <phoneticPr fontId="21"/>
  </si>
  <si>
    <r>
      <t xml:space="preserve"> -</t>
    </r>
    <r>
      <rPr>
        <sz val="11"/>
        <rFont val="ＭＳ Ｐゴシック"/>
        <family val="3"/>
        <charset val="128"/>
      </rPr>
      <t xml:space="preserve"> </t>
    </r>
    <r>
      <rPr>
        <sz val="11"/>
        <rFont val="ＭＳ Ｐゴシック"/>
        <family val="3"/>
        <charset val="128"/>
      </rPr>
      <t>Late Arrival</t>
    </r>
    <r>
      <rPr>
        <sz val="11"/>
        <rFont val="ＭＳ Ｐゴシック"/>
        <family val="3"/>
        <charset val="128"/>
      </rPr>
      <t xml:space="preserve"> in the Philippines</t>
    </r>
    <phoneticPr fontId="21"/>
  </si>
  <si>
    <r>
      <t>LA</t>
    </r>
    <r>
      <rPr>
        <sz val="11"/>
        <rFont val="ＭＳ Ｐゴシック"/>
        <family val="3"/>
        <charset val="128"/>
      </rPr>
      <t>J</t>
    </r>
    <phoneticPr fontId="21"/>
  </si>
  <si>
    <r>
      <t xml:space="preserve"> -</t>
    </r>
    <r>
      <rPr>
        <sz val="11"/>
        <rFont val="ＭＳ Ｐゴシック"/>
        <family val="3"/>
        <charset val="128"/>
      </rPr>
      <t xml:space="preserve"> </t>
    </r>
    <r>
      <rPr>
        <sz val="11"/>
        <rFont val="ＭＳ Ｐゴシック"/>
        <family val="3"/>
        <charset val="128"/>
      </rPr>
      <t>Late Arrival</t>
    </r>
    <r>
      <rPr>
        <sz val="11"/>
        <rFont val="ＭＳ Ｐゴシック"/>
        <family val="3"/>
        <charset val="128"/>
      </rPr>
      <t xml:space="preserve"> in Japan</t>
    </r>
    <phoneticPr fontId="21"/>
  </si>
  <si>
    <r>
      <t>LA</t>
    </r>
    <r>
      <rPr>
        <sz val="11"/>
        <rFont val="ＭＳ Ｐゴシック"/>
        <family val="3"/>
        <charset val="128"/>
      </rPr>
      <t>O</t>
    </r>
    <phoneticPr fontId="21"/>
  </si>
  <si>
    <r>
      <t xml:space="preserve"> -</t>
    </r>
    <r>
      <rPr>
        <sz val="11"/>
        <rFont val="ＭＳ Ｐゴシック"/>
        <family val="3"/>
        <charset val="128"/>
      </rPr>
      <t xml:space="preserve"> </t>
    </r>
    <r>
      <rPr>
        <sz val="11"/>
        <rFont val="ＭＳ Ｐゴシック"/>
        <family val="3"/>
        <charset val="128"/>
      </rPr>
      <t>Late Arrival</t>
    </r>
    <r>
      <rPr>
        <sz val="11"/>
        <rFont val="ＭＳ Ｐゴシック"/>
        <family val="3"/>
        <charset val="128"/>
      </rPr>
      <t xml:space="preserve"> in other work places</t>
    </r>
    <phoneticPr fontId="21"/>
  </si>
  <si>
    <r>
      <t>2000</t>
    </r>
    <r>
      <rPr>
        <sz val="11"/>
        <rFont val="ＭＳ Ｐゴシック"/>
        <family val="3"/>
        <charset val="128"/>
      </rPr>
      <t xml:space="preserve"> for the year 2000</t>
    </r>
  </si>
  <si>
    <r>
      <t>1999</t>
    </r>
    <r>
      <rPr>
        <sz val="11"/>
        <rFont val="ＭＳ Ｐゴシック"/>
        <family val="3"/>
        <charset val="128"/>
      </rPr>
      <t xml:space="preserve"> for the year 1999</t>
    </r>
  </si>
  <si>
    <t>APL</t>
    <phoneticPr fontId="21"/>
  </si>
  <si>
    <t>Late Arrival (LAP, LAO, LAJ)</t>
    <phoneticPr fontId="21"/>
  </si>
  <si>
    <t>For LAP, overtime starts after 17:00.</t>
    <phoneticPr fontId="21"/>
  </si>
  <si>
    <t>Time in: 08:30</t>
    <phoneticPr fontId="21"/>
  </si>
  <si>
    <t>Time out: 17:30</t>
    <phoneticPr fontId="21"/>
  </si>
  <si>
    <t>He/she will have an overtime of 30 mins. because overtime will start at 17:00</t>
    <phoneticPr fontId="21"/>
  </si>
  <si>
    <t>For LAO and LAJ, If an employee takes an overtime, the overtime will start after the first 8 working hours.</t>
    <phoneticPr fontId="21"/>
  </si>
  <si>
    <t>Time in: 10:30</t>
    <phoneticPr fontId="21"/>
  </si>
  <si>
    <t>Time out: 20:00</t>
    <phoneticPr fontId="21"/>
  </si>
  <si>
    <t>He/she will have an overtime of 30 mins. because overtime will start at 19:30</t>
    <phoneticPr fontId="21"/>
  </si>
  <si>
    <t>Note</t>
    <phoneticPr fontId="21"/>
  </si>
  <si>
    <t>The default Break Time will be displayed depending on the Status</t>
    <phoneticPr fontId="21"/>
  </si>
  <si>
    <t>Default value is 1.00 for Status is either RT, LAP, LAJ, LAO.</t>
    <phoneticPr fontId="21"/>
  </si>
  <si>
    <t>Default value is 0.00 for others.</t>
    <phoneticPr fontId="21"/>
  </si>
  <si>
    <t>Break Time can be manually changed.</t>
    <phoneticPr fontId="21"/>
  </si>
  <si>
    <r>
      <t>ROT</t>
    </r>
    <r>
      <rPr>
        <sz val="11"/>
        <rFont val="ＭＳ Ｐゴシック"/>
        <family val="3"/>
        <charset val="128"/>
      </rPr>
      <t xml:space="preserve"> status is only used on Saturdays</t>
    </r>
    <r>
      <rPr>
        <sz val="11"/>
        <rFont val="ＭＳ Ｐゴシック"/>
        <family val="3"/>
        <charset val="128"/>
      </rPr>
      <t xml:space="preserve"> and Thursdays (for countries with weekends falling on Thu/Fri)</t>
    </r>
    <phoneticPr fontId="21"/>
  </si>
  <si>
    <t>LIST OF JOBCODES</t>
    <phoneticPr fontId="21"/>
  </si>
  <si>
    <t xml:space="preserve">The Jobcodes common to all teams are listed in the "Jobcodes" tab.  Additional Jobcodes can be </t>
    <phoneticPr fontId="21"/>
  </si>
  <si>
    <t>Format:</t>
    <phoneticPr fontId="21"/>
  </si>
  <si>
    <t>X-X-XX-XXX-XXXX : DESCRIPTION</t>
    <phoneticPr fontId="21"/>
  </si>
  <si>
    <t>in the Jobcode combo box.</t>
    <phoneticPr fontId="21"/>
  </si>
  <si>
    <t>Note:</t>
    <phoneticPr fontId="21"/>
  </si>
  <si>
    <t xml:space="preserve">The description that will appear after selecting a Jobcode from the combo box can be edited.  </t>
    <phoneticPr fontId="21"/>
  </si>
  <si>
    <t>NDIFF-JAPAN ROT</t>
    <phoneticPr fontId="21"/>
  </si>
  <si>
    <t>NDIFF-JAPAN POT</t>
    <phoneticPr fontId="21"/>
  </si>
  <si>
    <t>NDIFF-MANILA ROT</t>
    <phoneticPr fontId="21"/>
  </si>
  <si>
    <t>NDIFF-MANILA POT</t>
    <phoneticPr fontId="21"/>
  </si>
  <si>
    <t>LA</t>
    <phoneticPr fontId="21"/>
  </si>
  <si>
    <t>EF</t>
    <phoneticPr fontId="21"/>
  </si>
  <si>
    <t>UL</t>
    <phoneticPr fontId="21"/>
  </si>
  <si>
    <t>MEAL ALLOWANCE (PH Only)</t>
    <phoneticPr fontId="21"/>
  </si>
  <si>
    <t>IF YOU WERE ABLE TO UNHIDE, PLEASE DO NOT MODIFY ANY CELLS ON THE PREVIOUSLY HIDDEN ROWS</t>
    <phoneticPr fontId="21"/>
  </si>
  <si>
    <r>
      <t>P</t>
    </r>
    <r>
      <rPr>
        <sz val="11"/>
        <rFont val="ＭＳ Ｐゴシック"/>
        <family val="3"/>
        <charset val="128"/>
      </rPr>
      <t>TL</t>
    </r>
    <phoneticPr fontId="21"/>
  </si>
  <si>
    <t>EL</t>
    <phoneticPr fontId="21"/>
  </si>
  <si>
    <r>
      <t xml:space="preserve">Bereavement </t>
    </r>
    <r>
      <rPr>
        <sz val="11"/>
        <rFont val="ＭＳ Ｐゴシック"/>
        <family val="3"/>
        <charset val="128"/>
      </rPr>
      <t xml:space="preserve">Leave </t>
    </r>
    <r>
      <rPr>
        <sz val="11"/>
        <rFont val="ＭＳ Ｐゴシック"/>
        <family val="3"/>
        <charset val="128"/>
      </rPr>
      <t xml:space="preserve">and Calamity </t>
    </r>
    <r>
      <rPr>
        <sz val="11"/>
        <rFont val="ＭＳ Ｐゴシック"/>
        <family val="3"/>
        <charset val="128"/>
      </rPr>
      <t>L</t>
    </r>
    <r>
      <rPr>
        <sz val="11"/>
        <rFont val="ＭＳ Ｐゴシック"/>
        <family val="3"/>
        <charset val="128"/>
      </rPr>
      <t>eave</t>
    </r>
    <r>
      <rPr>
        <sz val="11"/>
        <rFont val="ＭＳ Ｐゴシック"/>
        <family val="3"/>
        <charset val="128"/>
      </rPr>
      <t xml:space="preserve"> fall under Emergency Leave</t>
    </r>
    <phoneticPr fontId="21"/>
  </si>
  <si>
    <r>
      <t>Continuous</t>
    </r>
    <r>
      <rPr>
        <sz val="11"/>
        <rFont val="ＭＳ Ｐゴシック"/>
        <family val="3"/>
        <charset val="128"/>
      </rPr>
      <t xml:space="preserve"> Overtime Incentive Leave (COIL) and Travel Time Incentive Leave (TTIL) fall under Incentive Leave</t>
    </r>
    <phoneticPr fontId="21"/>
  </si>
  <si>
    <t>KenX</t>
    <phoneticPr fontId="21"/>
  </si>
  <si>
    <t>Time-in: 817, the entry will be automatically converted to 8:30.</t>
    <phoneticPr fontId="21"/>
  </si>
  <si>
    <t>Status</t>
    <phoneticPr fontId="21"/>
  </si>
  <si>
    <r>
      <t>P</t>
    </r>
    <r>
      <rPr>
        <sz val="11"/>
        <rFont val="ＭＳ Ｐゴシック"/>
        <family val="3"/>
        <charset val="128"/>
      </rPr>
      <t>RL</t>
    </r>
    <phoneticPr fontId="21"/>
  </si>
  <si>
    <r>
      <t xml:space="preserve"> - </t>
    </r>
    <r>
      <rPr>
        <sz val="11"/>
        <rFont val="ＭＳ Ｐゴシック"/>
        <family val="3"/>
        <charset val="128"/>
      </rPr>
      <t>Parental Leave</t>
    </r>
    <phoneticPr fontId="21"/>
  </si>
  <si>
    <r>
      <t>C</t>
    </r>
    <r>
      <rPr>
        <sz val="11"/>
        <rFont val="ＭＳ Ｐゴシック"/>
        <family val="3"/>
        <charset val="128"/>
      </rPr>
      <t>EP</t>
    </r>
    <phoneticPr fontId="21"/>
  </si>
  <si>
    <r>
      <t xml:space="preserve"> - </t>
    </r>
    <r>
      <rPr>
        <sz val="11"/>
        <rFont val="ＭＳ Ｐゴシック"/>
        <family val="3"/>
        <charset val="128"/>
      </rPr>
      <t>Continuing Education Program Leave</t>
    </r>
    <phoneticPr fontId="21"/>
  </si>
  <si>
    <t>US</t>
    <phoneticPr fontId="21"/>
  </si>
  <si>
    <t xml:space="preserve"> - Under Suspension</t>
    <phoneticPr fontId="21"/>
  </si>
  <si>
    <t>added 2009/05/14</t>
    <phoneticPr fontId="21"/>
  </si>
  <si>
    <t>Notes</t>
    <phoneticPr fontId="21"/>
  </si>
  <si>
    <t>For LAP, RT will always be less than 8, in the example above, it will be 7.50.</t>
    <phoneticPr fontId="21"/>
  </si>
  <si>
    <t>Working Time Convention</t>
    <phoneticPr fontId="21"/>
  </si>
  <si>
    <t>e.g.</t>
    <phoneticPr fontId="21"/>
  </si>
  <si>
    <t>0.0</t>
    <phoneticPr fontId="21"/>
  </si>
  <si>
    <t>Meann, Cels,KenX</t>
    <phoneticPr fontId="21"/>
  </si>
  <si>
    <t>1.0</t>
    <phoneticPr fontId="21"/>
  </si>
  <si>
    <t>Pike</t>
    <phoneticPr fontId="21"/>
  </si>
  <si>
    <t>2.0</t>
    <phoneticPr fontId="21"/>
  </si>
  <si>
    <t>KenX, Weng, HB</t>
    <phoneticPr fontId="21"/>
  </si>
  <si>
    <t>Main revision is on APL, BreakTime, LA, MH Report (Summary of TS)</t>
    <phoneticPr fontId="21"/>
  </si>
  <si>
    <t>Added Under Suspension Status</t>
    <phoneticPr fontId="21"/>
  </si>
  <si>
    <t>Bong</t>
    <phoneticPr fontId="21"/>
  </si>
  <si>
    <t>Time entries - colon and automatic conversion to accepted values</t>
    <phoneticPr fontId="21"/>
  </si>
  <si>
    <t>2.3
2.3.1</t>
    <phoneticPr fontId="21"/>
  </si>
  <si>
    <t>Bong, Wilson, KenX
Enrico, Bong</t>
    <phoneticPr fontId="21"/>
  </si>
  <si>
    <t>a) Bug fix (FormatTime Function) 
b) Correction on NOTES' "Working Time Convention" (see below on this sheet)
c) Added new JobCodes
d) formatting of cell G8</t>
    <phoneticPr fontId="21"/>
  </si>
  <si>
    <t>KenX</t>
    <phoneticPr fontId="21"/>
  </si>
  <si>
    <t>Added ROT on Fridays</t>
    <phoneticPr fontId="21"/>
  </si>
  <si>
    <t>KenX</t>
    <phoneticPr fontId="21"/>
  </si>
  <si>
    <t>PLANTIA PJ (Installation, Training and Maintenance for SAA)</t>
  </si>
  <si>
    <t>EMI PJ - Production Control Monitoring System</t>
  </si>
  <si>
    <t>EMI PJ - Calibration System</t>
  </si>
  <si>
    <t>Plantia Ver 4.2 Customization Project</t>
  </si>
  <si>
    <t>JSGP PJ (JEPM Operation Support)</t>
  </si>
  <si>
    <t>EMI PJ (QARI System)</t>
  </si>
  <si>
    <t>S2I Design MDB Development PJ</t>
  </si>
  <si>
    <t>FIX CloudChef Testing Pj</t>
  </si>
  <si>
    <t xml:space="preserve">S2i for Futaba Project-Simulation of Transportation for Parts and Delivery </t>
  </si>
  <si>
    <t>ICHTHYS Technical Support AG&amp;P</t>
  </si>
  <si>
    <t>ICHTHYS Technical Support COOEC</t>
  </si>
  <si>
    <t>Team Administration and Coordination</t>
  </si>
  <si>
    <t>General Assembly</t>
  </si>
  <si>
    <t>Weekly/Monthly Meetings, Team Meetings, JPI meetings</t>
  </si>
  <si>
    <t>Policy and Process Review</t>
  </si>
  <si>
    <t>Reports (Timesheet, Weekly Reports, Team Reports, MOM)</t>
  </si>
  <si>
    <t>EEC Activities (Outing, Sportsfest/Anniversary, Christmas Party)</t>
  </si>
  <si>
    <t>General Affairs Activities (CSR, EOY, Family Day, Office Blessing, Annual Fire Drill, etc.)</t>
  </si>
  <si>
    <t>Work Suspension (Calamity)</t>
  </si>
  <si>
    <t>Financial Statements</t>
  </si>
  <si>
    <t xml:space="preserve">Payroll matters (process, payslip, 183 days analysis, ANPA, etc.) </t>
  </si>
  <si>
    <t>Audit</t>
  </si>
  <si>
    <t>Check preparation and disbursements (including cash advances, scanning and sending via email)</t>
  </si>
  <si>
    <t>Liquidation</t>
  </si>
  <si>
    <t>Banking transactions (deposits, withdrawal, miscellaneous transactions, telegraphic transfers, utilities payment such as Meralco, PLDT, etc.)</t>
  </si>
  <si>
    <t>Reports preparation (Excess utilities, BIR, PEZA, and DOF reports, preparation of credit withholding tax and filing online, cash position, debit memo and invoices preparation, DC table)</t>
  </si>
  <si>
    <t>Travel-related (flight booking, hotel booking, visa requirements, ATOA, OSA, RS, etc)</t>
  </si>
  <si>
    <t>Purchasing (Canvassing, PO, RS, Inventory, Pantry, Office Supplies, etc.)</t>
  </si>
  <si>
    <t>Personnel Development (Training needs)</t>
  </si>
  <si>
    <t>Gov't offices related transactions (SSS, Pag-ibig, Philhealth, BIR)</t>
  </si>
  <si>
    <t xml:space="preserve">General Admin (Driver and Janitorial services, President's accommodation, pest control, office repairs, company car maintenance, courier, etc.) </t>
  </si>
  <si>
    <t>Reports preparation (man hour, timesheet and attendance summary, junpou, OT summary, Nihongo allowance update, job code update, PAN, MOM, for signature list, certification, clearance, quitclaim, employee master list update, Org Chart, Recruitment Statistics, etc.)</t>
  </si>
  <si>
    <t>Homepage, Portal, Infra, etc.</t>
  </si>
  <si>
    <t>Recruitment, Job Fairs &amp; Selection (exams, initial interview, panel interview)</t>
  </si>
  <si>
    <t>Medical/Physical Exams/Drug Test/Vaccination</t>
  </si>
  <si>
    <t>Performance Appraisal (Achievement and Ability, deliberations, meetings, FI)</t>
  </si>
  <si>
    <t>Business Trips (non-project)</t>
  </si>
  <si>
    <t>Travel Requirements (passport application or renewal, visa application, Alien Registration, COG, Diploma, Birth Certificate, DOST certification, gov't clearances, etc.)</t>
  </si>
  <si>
    <t>Cash Advance, Liquidation, Reimbursements, etc</t>
  </si>
  <si>
    <t>(For Probationaries) Benefits, Pre-departure, General Orientation on the new J-SYS office, policies and guidelines</t>
  </si>
  <si>
    <t>(For Probationaries) Nihongo Training</t>
  </si>
  <si>
    <t>(For Probationaries) Technical Training</t>
  </si>
  <si>
    <t>(For Probationaries) Leadership Training, Team Building, soft skills, etc.</t>
  </si>
  <si>
    <t>(For Regular) Benefits, Pre-departure, General Orientation on the new J-SYS office, policies and guidelines</t>
  </si>
  <si>
    <t>(For Regular) Nihongo Training</t>
  </si>
  <si>
    <t>(For Regular) Technical Training</t>
  </si>
  <si>
    <t>(For Regular) MTP, Leadership Training, Team Building, soft skills, etc.</t>
  </si>
  <si>
    <t>(For Trainor) Benefits, Pre-departure, General Orientation on the new J-SYS office, policies and guidelines</t>
  </si>
  <si>
    <t>(For Trainor) Nihongo Training</t>
  </si>
  <si>
    <t>(For Trainor) Technical Training</t>
  </si>
  <si>
    <t>(For Trainor) MTP, Leadership Training, Team Building, soft skills, etc.</t>
  </si>
  <si>
    <t>to be used for PJs not yet chargeable</t>
    <phoneticPr fontId="21"/>
  </si>
  <si>
    <t>Proposal preparation, etc.</t>
  </si>
  <si>
    <t>Marketing</t>
  </si>
  <si>
    <t>New Business PJ team-related Programs and Activities</t>
  </si>
  <si>
    <t>Customer lobbying</t>
  </si>
  <si>
    <t>General Meetings/Discussion/Presentation-External</t>
  </si>
  <si>
    <t>Materials preparation</t>
  </si>
  <si>
    <t>DETAILS</t>
    <phoneticPr fontId="21"/>
  </si>
  <si>
    <t>a) Fixed distribution of RT and ROT when LAP
b) New JobCodes Master List
c) Clearing JobName when the blank JobCode is selected (as suggested by Ma'am Dred)
d) Changed format of Emp No.
e) Changed Comments on [Team] and [Name]
f) Attached the JPI Logo</t>
    <phoneticPr fontId="21"/>
  </si>
  <si>
    <t>APL</t>
  </si>
  <si>
    <t xml:space="preserve"> - Annual Paid Leave</t>
  </si>
  <si>
    <t>VL</t>
  </si>
  <si>
    <t>SL</t>
  </si>
  <si>
    <t xml:space="preserve"> - Vacation Leave</t>
  </si>
  <si>
    <t xml:space="preserve"> - Sick Leave</t>
  </si>
  <si>
    <t>User can input time with or without colon. The system will automatically convert.</t>
  </si>
  <si>
    <t>Time-out: 17:59, the entry will be automatically converted to 17:45.</t>
  </si>
  <si>
    <t>HL</t>
  </si>
  <si>
    <r>
      <t xml:space="preserve"> - </t>
    </r>
    <r>
      <rPr>
        <b/>
        <sz val="11"/>
        <color indexed="10"/>
        <rFont val="ＭＳ Ｐゴシック"/>
        <family val="3"/>
        <charset val="128"/>
      </rPr>
      <t>Hospitalization Leave -&gt; Home Leave</t>
    </r>
  </si>
  <si>
    <r>
      <rPr>
        <b/>
        <strike/>
        <u/>
        <sz val="11"/>
        <color indexed="10"/>
        <rFont val="ＭＳ Ｐゴシック"/>
        <family val="3"/>
        <charset val="128"/>
      </rPr>
      <t xml:space="preserve">APL </t>
    </r>
    <r>
      <rPr>
        <b/>
        <u/>
        <sz val="11"/>
        <color indexed="10"/>
        <rFont val="ＭＳ Ｐゴシック"/>
        <family val="3"/>
        <charset val="128"/>
      </rPr>
      <t>VL/SL/HL</t>
    </r>
  </si>
  <si>
    <r>
      <t>If the</t>
    </r>
    <r>
      <rPr>
        <b/>
        <strike/>
        <sz val="11"/>
        <color indexed="10"/>
        <rFont val="ＭＳ Ｐゴシック"/>
        <family val="3"/>
        <charset val="128"/>
      </rPr>
      <t xml:space="preserve"> APL </t>
    </r>
    <r>
      <rPr>
        <b/>
        <sz val="11"/>
        <color indexed="10"/>
        <rFont val="ＭＳ Ｐゴシック"/>
        <family val="3"/>
        <charset val="128"/>
      </rPr>
      <t>VL/SL/HL</t>
    </r>
    <r>
      <rPr>
        <sz val="11"/>
        <color indexed="10"/>
        <rFont val="ＭＳ Ｐゴシック"/>
        <family val="3"/>
        <charset val="128"/>
      </rPr>
      <t xml:space="preserve"> </t>
    </r>
    <r>
      <rPr>
        <sz val="11"/>
        <rFont val="ＭＳ Ｐゴシック"/>
        <family val="3"/>
        <charset val="128"/>
      </rPr>
      <t>was taken in the morning, the working time will start at 13:00</t>
    </r>
  </si>
  <si>
    <r>
      <t>If the</t>
    </r>
    <r>
      <rPr>
        <b/>
        <sz val="11"/>
        <color indexed="10"/>
        <rFont val="ＭＳ Ｐゴシック"/>
        <family val="3"/>
        <charset val="128"/>
      </rPr>
      <t xml:space="preserve"> </t>
    </r>
    <r>
      <rPr>
        <b/>
        <strike/>
        <sz val="11"/>
        <color indexed="10"/>
        <rFont val="ＭＳ Ｐゴシック"/>
        <family val="3"/>
        <charset val="128"/>
      </rPr>
      <t xml:space="preserve">APL </t>
    </r>
    <r>
      <rPr>
        <b/>
        <sz val="11"/>
        <color indexed="10"/>
        <rFont val="ＭＳ Ｐゴシック"/>
        <family val="3"/>
        <charset val="128"/>
      </rPr>
      <t>VL/SL/HL</t>
    </r>
    <r>
      <rPr>
        <sz val="11"/>
        <color indexed="10"/>
        <rFont val="ＭＳ Ｐゴシック"/>
        <family val="3"/>
        <charset val="128"/>
      </rPr>
      <t xml:space="preserve"> </t>
    </r>
    <r>
      <rPr>
        <sz val="11"/>
        <rFont val="ＭＳ Ｐゴシック"/>
        <family val="3"/>
        <charset val="128"/>
      </rPr>
      <t xml:space="preserve">was taken in the afternoon, the working time will start at 8:00 </t>
    </r>
  </si>
  <si>
    <r>
      <t xml:space="preserve">If half-day </t>
    </r>
    <r>
      <rPr>
        <b/>
        <strike/>
        <sz val="11"/>
        <color indexed="10"/>
        <rFont val="ＭＳ Ｐゴシック"/>
        <family val="3"/>
        <charset val="128"/>
      </rPr>
      <t xml:space="preserve">APL </t>
    </r>
    <r>
      <rPr>
        <b/>
        <sz val="11"/>
        <color indexed="10"/>
        <rFont val="ＭＳ Ｐゴシック"/>
        <family val="3"/>
        <charset val="128"/>
      </rPr>
      <t>VL/SL/HL</t>
    </r>
    <r>
      <rPr>
        <b/>
        <sz val="11"/>
        <rFont val="ＭＳ Ｐゴシック"/>
        <family val="3"/>
        <charset val="128"/>
      </rPr>
      <t xml:space="preserve"> </t>
    </r>
    <r>
      <rPr>
        <sz val="11"/>
        <rFont val="ＭＳ Ｐゴシック"/>
        <family val="3"/>
        <charset val="128"/>
      </rPr>
      <t>is taken and also late (e.g. 8:30, 14:00), the Status should be APL.</t>
    </r>
  </si>
  <si>
    <r>
      <t>For half-day</t>
    </r>
    <r>
      <rPr>
        <b/>
        <sz val="11"/>
        <rFont val="ＭＳ Ｐゴシック"/>
        <family val="3"/>
        <charset val="128"/>
      </rPr>
      <t xml:space="preserve"> </t>
    </r>
    <r>
      <rPr>
        <b/>
        <strike/>
        <sz val="11"/>
        <color indexed="10"/>
        <rFont val="ＭＳ Ｐゴシック"/>
        <family val="3"/>
        <charset val="128"/>
      </rPr>
      <t xml:space="preserve">APL </t>
    </r>
    <r>
      <rPr>
        <b/>
        <sz val="11"/>
        <color indexed="10"/>
        <rFont val="ＭＳ Ｐゴシック"/>
        <family val="3"/>
        <charset val="128"/>
      </rPr>
      <t>VL/SL/HL</t>
    </r>
    <r>
      <rPr>
        <sz val="11"/>
        <color indexed="10"/>
        <rFont val="ＭＳ Ｐゴシック"/>
        <family val="3"/>
        <charset val="128"/>
      </rPr>
      <t xml:space="preserve"> </t>
    </r>
    <r>
      <rPr>
        <sz val="11"/>
        <rFont val="ＭＳ Ｐゴシック"/>
        <family val="3"/>
        <charset val="128"/>
      </rPr>
      <t>and late arrival, RT will always be less than 4.</t>
    </r>
  </si>
  <si>
    <r>
      <t>Enter the Status (RT, ROT, POT,</t>
    </r>
    <r>
      <rPr>
        <strike/>
        <sz val="11"/>
        <rFont val="ＭＳ Ｐゴシック"/>
        <family val="3"/>
        <charset val="128"/>
      </rPr>
      <t xml:space="preserve"> </t>
    </r>
    <r>
      <rPr>
        <b/>
        <strike/>
        <sz val="11"/>
        <color indexed="10"/>
        <rFont val="ＭＳ Ｐゴシック"/>
        <family val="3"/>
        <charset val="128"/>
      </rPr>
      <t xml:space="preserve">APL, </t>
    </r>
    <r>
      <rPr>
        <b/>
        <sz val="11"/>
        <color indexed="10"/>
        <rFont val="ＭＳ Ｐゴシック"/>
        <family val="3"/>
        <charset val="128"/>
      </rPr>
      <t>VL,</t>
    </r>
    <r>
      <rPr>
        <b/>
        <sz val="11"/>
        <rFont val="ＭＳ Ｐゴシック"/>
        <family val="3"/>
        <charset val="128"/>
      </rPr>
      <t xml:space="preserve">  </t>
    </r>
    <r>
      <rPr>
        <sz val="11"/>
        <rFont val="ＭＳ Ｐゴシック"/>
        <family val="3"/>
        <charset val="128"/>
      </rPr>
      <t>etc.)</t>
    </r>
  </si>
  <si>
    <t>PLANTIA 4.3 Development</t>
  </si>
  <si>
    <t>JGCA Web Development Project</t>
  </si>
  <si>
    <t>PLANTIA INPEX Reports Customization, 2016</t>
  </si>
  <si>
    <t>PLANTIA Securing Vulnerabilities, 2016</t>
  </si>
  <si>
    <t>PLANTIA V04L30 JA-EN Manual Translation, 2016</t>
  </si>
  <si>
    <t>S2i Futaba Shizai Chotatsu PJ</t>
  </si>
  <si>
    <t>SmiLLe System Development Support Project</t>
  </si>
  <si>
    <t>SF Trial Development Project</t>
  </si>
  <si>
    <t>JGCA Website Support and Maintenance</t>
  </si>
  <si>
    <t>BAG - SMI/Material Analysis PJ</t>
  </si>
  <si>
    <t>S2i Kanagata Procurement Systems Development Project</t>
  </si>
  <si>
    <t>Meetings, Activities, Cascading</t>
  </si>
  <si>
    <t>Kick-off meeting, Regular Meetings, Activities</t>
  </si>
  <si>
    <t>AB</t>
  </si>
  <si>
    <t xml:space="preserve"> - Unpaid Leave</t>
  </si>
  <si>
    <t xml:space="preserve"> - Absent w/o Pay</t>
  </si>
  <si>
    <t>a) Changed APL to VL (Vacation Leave), SL (Sick Leave), HL (Home Leave, formerly Hospitalization Leave) (see Note 3 below)
b) Changed UL to AB (see Note 3 below)
c) Changed JPI Logo to Fujitsu Logo
d) Addition of JobCodes</t>
  </si>
  <si>
    <t>S2F Bridge SE</t>
    <phoneticPr fontId="21"/>
  </si>
  <si>
    <t>RT</t>
  </si>
  <si>
    <t>EL</t>
  </si>
  <si>
    <t>ML</t>
  </si>
  <si>
    <t>PTL</t>
  </si>
  <si>
    <t>PRL</t>
  </si>
  <si>
    <t>CEP</t>
  </si>
  <si>
    <t>US</t>
  </si>
  <si>
    <t>LAP</t>
  </si>
  <si>
    <t>LAJ</t>
  </si>
  <si>
    <t>LAO</t>
  </si>
  <si>
    <t>Status Code</t>
    <phoneticPr fontId="21"/>
  </si>
  <si>
    <t>Description</t>
    <phoneticPr fontId="21"/>
  </si>
  <si>
    <t xml:space="preserve">Use Flag </t>
    <phoneticPr fontId="21"/>
  </si>
  <si>
    <t>Z-0-10-000-0045</t>
  </si>
  <si>
    <t>Z-0-10-000-0046</t>
  </si>
  <si>
    <t>Z-0-10-000-0047</t>
  </si>
  <si>
    <t>Z-0-10-000-0048</t>
  </si>
  <si>
    <t>Z-0-10-000-0049</t>
  </si>
  <si>
    <t>Z-0-10-000-0050</t>
  </si>
  <si>
    <t>Z-0-10-000-0051</t>
  </si>
  <si>
    <t>Z-0-10-000-0052</t>
  </si>
  <si>
    <t>Z-0-10-000-0057</t>
  </si>
  <si>
    <t>Z-0-10-000-0058</t>
  </si>
  <si>
    <t>Z-0-10-000-0059</t>
  </si>
  <si>
    <t>Z-0-10-000-0060</t>
  </si>
  <si>
    <t>Z-0-10-000-0061</t>
  </si>
  <si>
    <t>Z-0-10-000-0062</t>
  </si>
  <si>
    <t>Z-0-10-000-0063</t>
  </si>
  <si>
    <t>Z-0-10-000-0064</t>
  </si>
  <si>
    <t>Z-0-10-000-0065</t>
  </si>
  <si>
    <t>Z-0-10-000-0066</t>
  </si>
  <si>
    <t>Z-0-10-000-0067</t>
  </si>
  <si>
    <t>Z-0-10-000-0068</t>
  </si>
  <si>
    <t>Z-0-10-000-0072</t>
  </si>
  <si>
    <t>Z-0-20-000-0005</t>
  </si>
  <si>
    <t>Z-0-20-000-0006</t>
  </si>
  <si>
    <t>Z-1-10-000-0001</t>
  </si>
  <si>
    <t>Z-1-10-000-0002</t>
  </si>
  <si>
    <t>Z-1-10-000-0003</t>
  </si>
  <si>
    <t>Z-1-10-000-0004</t>
  </si>
  <si>
    <t>Z-1-10-000-0005</t>
  </si>
  <si>
    <t>Z-1-10-000-0006</t>
  </si>
  <si>
    <t>Z-1-10-000-0007</t>
  </si>
  <si>
    <t>Z-1-20-000-0001</t>
  </si>
  <si>
    <t>Z-1-20-000-0002</t>
  </si>
  <si>
    <t>Z-1-20-000-0003</t>
  </si>
  <si>
    <t>Z-1-30-000-0001</t>
  </si>
  <si>
    <t>Z-1-30-000-0002</t>
  </si>
  <si>
    <t>Z-1-30-000-0003</t>
  </si>
  <si>
    <t>Z-1-30-000-0004</t>
  </si>
  <si>
    <t>Z-1-30-000-0005</t>
  </si>
  <si>
    <t>Z-1-30-000-0006</t>
  </si>
  <si>
    <t>Z-1-30-000-0007</t>
  </si>
  <si>
    <t>Z-1-40-000-0001</t>
  </si>
  <si>
    <t>Z-1-40-000-0002</t>
  </si>
  <si>
    <t>Z-1-40-000-0003</t>
  </si>
  <si>
    <t>Z-1-40-000-0004</t>
  </si>
  <si>
    <t>Z-1-40-000-0005</t>
  </si>
  <si>
    <t>Z-1-40-000-0006</t>
  </si>
  <si>
    <t>Z-1-50-000-0001</t>
  </si>
  <si>
    <t>Z-2-10-000-0001</t>
  </si>
  <si>
    <t>Z-2-20-000-0001</t>
  </si>
  <si>
    <t>Z-2-30-000-0001</t>
  </si>
  <si>
    <t>Z-2-40-000-0001</t>
  </si>
  <si>
    <t>Z-2-40-000-0002</t>
  </si>
  <si>
    <t>Z-2-40-000-0003</t>
  </si>
  <si>
    <t>Z-2-50-000-0001</t>
  </si>
  <si>
    <t>Z-2-50-000-0002</t>
  </si>
  <si>
    <t>Z-2-50-000-0003</t>
  </si>
  <si>
    <t>Z-2-50-000-0004</t>
  </si>
  <si>
    <t>Z-2-50-000-0005</t>
  </si>
  <si>
    <t>Z-2-50-000-0006</t>
  </si>
  <si>
    <t>Z-2-50-000-0007</t>
  </si>
  <si>
    <t>Z-2-50-000-0008</t>
  </si>
  <si>
    <t>Z-2-50-000-0009</t>
  </si>
  <si>
    <t>Z-2-50-000-0010</t>
  </si>
  <si>
    <t>Z-2-50-000-0011</t>
  </si>
  <si>
    <t>Z-2-50-000-0012</t>
  </si>
  <si>
    <t>Z-8-10-000-0001</t>
  </si>
  <si>
    <t>Z-8-10-000-0002</t>
  </si>
  <si>
    <t>Z-8-10-000-0003</t>
  </si>
  <si>
    <t>Z-8-10-000-0004</t>
  </si>
  <si>
    <t>Z-8-10-000-0005</t>
  </si>
  <si>
    <t>Z-8-10-000-0006</t>
  </si>
  <si>
    <t>Z-9-10-000-0000</t>
  </si>
  <si>
    <t>新現場MP管理システム</t>
  </si>
  <si>
    <t>S2i for Futaba Project</t>
  </si>
  <si>
    <t>S2i Kanagata Procurement Systems</t>
  </si>
  <si>
    <t>S2F Bridge SE</t>
  </si>
  <si>
    <t>Team Adm. and Coord</t>
  </si>
  <si>
    <t>Gen. Assembly</t>
  </si>
  <si>
    <t>Meetings</t>
  </si>
  <si>
    <t>Reports</t>
  </si>
  <si>
    <t>Strategic Plan</t>
  </si>
  <si>
    <t>Strategic Plan Committee Activities</t>
  </si>
  <si>
    <t>EEC Activity</t>
  </si>
  <si>
    <t>Gen. Affairs Activities</t>
  </si>
  <si>
    <t>Work Suspension</t>
  </si>
  <si>
    <t>FS</t>
  </si>
  <si>
    <t>Payroll</t>
  </si>
  <si>
    <t>Check prep and disbursements</t>
  </si>
  <si>
    <t>Banking transactions</t>
  </si>
  <si>
    <t>FAD Reports</t>
  </si>
  <si>
    <t>Travel-related</t>
  </si>
  <si>
    <t>Purchasing</t>
  </si>
  <si>
    <t>Personnel Development</t>
  </si>
  <si>
    <t>Gov't-offices related</t>
  </si>
  <si>
    <t>General Admin</t>
  </si>
  <si>
    <t>HRGA Reports</t>
  </si>
  <si>
    <t>JPI Internal System Maintenance and Support</t>
  </si>
  <si>
    <t>Recruitment</t>
  </si>
  <si>
    <t>Medical</t>
  </si>
  <si>
    <t>Performance Appraisals</t>
  </si>
  <si>
    <t>Business Trips</t>
  </si>
  <si>
    <t>Travel requirements</t>
  </si>
  <si>
    <t>Cash Advance, Liquidation, etc</t>
  </si>
  <si>
    <t>Orientation (Probationary)</t>
  </si>
  <si>
    <t>Nihongo (Probationary)</t>
  </si>
  <si>
    <t>Technical (Probationary)</t>
  </si>
  <si>
    <t>Non-Technical (Probationary)</t>
  </si>
  <si>
    <t>Orientation (Regular)</t>
  </si>
  <si>
    <t>Nihongo (Regular)</t>
  </si>
  <si>
    <t>Technical (Regular)</t>
  </si>
  <si>
    <t>Non-Technical (Regular)</t>
  </si>
  <si>
    <t>Orientation (Trainor)</t>
  </si>
  <si>
    <t>Nihongo (Trainor)</t>
  </si>
  <si>
    <t>Technical (Trainor)</t>
  </si>
  <si>
    <t>Non-Technical (Trainor)</t>
  </si>
  <si>
    <t>Proposal</t>
  </si>
  <si>
    <t>New Business PJ</t>
  </si>
  <si>
    <t>Customer Lobbying</t>
  </si>
  <si>
    <t>Gen. Meetings-External</t>
  </si>
  <si>
    <t>Materials Prep</t>
  </si>
  <si>
    <t>&lt;&lt;variable&gt;&gt;</t>
  </si>
  <si>
    <t>Job Code</t>
  </si>
  <si>
    <t>Job Name</t>
  </si>
  <si>
    <t>24H Format (hh:mm)</t>
  </si>
  <si>
    <t>Day of Week</t>
  </si>
  <si>
    <t>Days</t>
  </si>
  <si>
    <t>January</t>
  </si>
  <si>
    <t>DEP. CODE</t>
  </si>
  <si>
    <t>2-PJ16001737-0</t>
  </si>
  <si>
    <t>K013</t>
  </si>
  <si>
    <t>Norman</t>
  </si>
  <si>
    <t>2019</t>
  </si>
  <si>
    <t>Year</t>
  </si>
  <si>
    <t>Month</t>
  </si>
  <si>
    <t>Period</t>
  </si>
  <si>
    <t>February</t>
  </si>
  <si>
    <t>March</t>
  </si>
  <si>
    <t>April</t>
  </si>
  <si>
    <t>May</t>
  </si>
  <si>
    <t>June</t>
  </si>
  <si>
    <t>July</t>
  </si>
  <si>
    <t>August</t>
  </si>
  <si>
    <t>September</t>
  </si>
  <si>
    <t>October</t>
  </si>
  <si>
    <t>November</t>
  </si>
  <si>
    <t>December</t>
  </si>
  <si>
    <t>Z313</t>
  </si>
  <si>
    <t>Unused</t>
  </si>
  <si>
    <t>In-Use, General</t>
  </si>
  <si>
    <t>In-Use, Standard Leave</t>
  </si>
  <si>
    <t>In-Use, Special Leave</t>
  </si>
  <si>
    <t>In-Use, Absent/Suspension</t>
  </si>
  <si>
    <t>In-Use, Late Arrivals</t>
  </si>
  <si>
    <t>In-Use, Overtime</t>
  </si>
  <si>
    <t>In-Use, Undertime</t>
  </si>
  <si>
    <t>In-Use, Late Arrival, Half-Day Leave</t>
  </si>
  <si>
    <t>Use Flag</t>
  </si>
  <si>
    <t>Description</t>
  </si>
  <si>
    <t>In-Use, Late Arrival, Undertime</t>
  </si>
  <si>
    <t>LAP-EF</t>
  </si>
  <si>
    <t>Regular Time</t>
  </si>
  <si>
    <t>Regular Overtime</t>
  </si>
  <si>
    <t>Prime Overtime</t>
  </si>
  <si>
    <t>Annual Paid Leave</t>
  </si>
  <si>
    <t>Vacation Leave</t>
  </si>
  <si>
    <t>Sick Leave</t>
  </si>
  <si>
    <t>Hospitalization Leave -&gt; Home Leave</t>
  </si>
  <si>
    <t>Emergency Leave</t>
  </si>
  <si>
    <t>Maternity Leave</t>
  </si>
  <si>
    <t>Paternity Leave</t>
  </si>
  <si>
    <t>Parental Leave</t>
  </si>
  <si>
    <t>Continuing Education Program Leave</t>
  </si>
  <si>
    <t>Night Shift</t>
  </si>
  <si>
    <t>Incentive Leave</t>
  </si>
  <si>
    <t>Early Finish</t>
  </si>
  <si>
    <t>Unpaid Leave</t>
  </si>
  <si>
    <t>Absent w/o Pay</t>
  </si>
  <si>
    <t>Under Suspension</t>
  </si>
  <si>
    <t>Late Arrival in the Philippines</t>
  </si>
  <si>
    <t>Late Arrival in Japan</t>
  </si>
  <si>
    <t>Late Arrival in other work places</t>
  </si>
  <si>
    <t>Late Arrival, Early Finish in the Philippines</t>
  </si>
  <si>
    <t>LAP-VL</t>
  </si>
  <si>
    <t>Late Arrival, Half-Day Vacation Leave</t>
  </si>
  <si>
    <t>JOBCODES</t>
  </si>
  <si>
    <t>DAILY TOTAL</t>
  </si>
  <si>
    <t xml:space="preserve">1. Changed layout: removed unnecessary rows, added job rows, implemented data validation for date, added function showing unallocated manhours and warnings
2. Improved jobcode combo box functionality
3. Added "Status" sheet and related code for dynamic status changes
4. Fixed bugs, improved code, removed all commented-out code.
</t>
  </si>
  <si>
    <t>---</t>
  </si>
  <si>
    <t>Z-0-99-989-9999</t>
  </si>
  <si>
    <t>the quick brown fox jumps over the lazy dog</t>
  </si>
  <si>
    <t>JOB NAME (45 characters or below is recommended)</t>
  </si>
  <si>
    <t>↑↑↑ TO ADD NEW JOBCODES, INSERT ROWS ABOVE THIS LINE ↑↑↑</t>
  </si>
  <si>
    <t>Place</t>
  </si>
  <si>
    <t>IntMonth</t>
  </si>
  <si>
    <t>FETP TIMESHEET INFORMATION</t>
  </si>
  <si>
    <t>08:30</t>
  </si>
  <si>
    <t>08:15</t>
  </si>
  <si>
    <t>09:00</t>
  </si>
  <si>
    <t>08:45</t>
  </si>
  <si>
    <t>17:30</t>
  </si>
  <si>
    <t>17:45</t>
  </si>
  <si>
    <t>18:00</t>
  </si>
  <si>
    <t>17:15</t>
  </si>
  <si>
    <t>PH</t>
  </si>
  <si>
    <t>Monina Nicole E. Martin</t>
  </si>
  <si>
    <t>SDT2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</si>
</sst>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0.00;;"/>
    <numFmt numFmtId="165" formatCode="0.00_ "/>
    <numFmt numFmtId="166" formatCode="0.00;[Red]0.00"/>
    <numFmt numFmtId="167" formatCode="0;[Red]0"/>
    <numFmt numFmtId="168" formatCode="0000#"/>
    <numFmt numFmtId="169" formatCode="d"/>
    <numFmt numFmtId="170" formatCode="ddd"/>
    <numFmt numFmtId="171" formatCode="#0.00;;;@"/>
  </numFmts>
  <fonts count="38" x14ac:knownFonts="1">
    <font>
      <sz val="11"/>
      <name val="ＭＳ Ｐゴシック"/>
      <family val="3"/>
      <charset val="128"/>
    </font>
    <font>
      <sz val="11"/>
      <name val="ＭＳ Ｐゴシック"/>
      <family val="3"/>
      <charset val="128"/>
    </font>
    <font>
      <sz val="10"/>
      <name val="Arial"/>
      <family val="2"/>
    </font>
    <font>
      <sz val="11"/>
      <name val="Arial"/>
      <family val="2"/>
    </font>
    <font>
      <b/>
      <sz val="18"/>
      <name val="Arial"/>
      <family val="2"/>
    </font>
    <font>
      <u/>
      <sz val="16"/>
      <name val="Arial"/>
      <family val="2"/>
    </font>
    <font>
      <sz val="11"/>
      <color indexed="8"/>
      <name val="Arial"/>
      <family val="2"/>
    </font>
    <font>
      <sz val="9"/>
      <name val="Arial"/>
      <family val="2"/>
    </font>
    <font>
      <b/>
      <u/>
      <sz val="11"/>
      <name val="Arial"/>
      <family val="2"/>
    </font>
    <font>
      <u/>
      <sz val="9"/>
      <name val="Arial"/>
      <family val="2"/>
    </font>
    <font>
      <u/>
      <sz val="11"/>
      <name val="Arial"/>
      <family val="2"/>
    </font>
    <font>
      <b/>
      <sz val="9"/>
      <name val="Arial"/>
      <family val="2"/>
    </font>
    <font>
      <b/>
      <sz val="11"/>
      <name val="Arial"/>
      <family val="2"/>
    </font>
    <font>
      <b/>
      <sz val="8"/>
      <name val="Arial"/>
      <family val="2"/>
    </font>
    <font>
      <sz val="9"/>
      <name val="ＭＳ Ｐゴシック"/>
      <family val="3"/>
      <charset val="128"/>
    </font>
    <font>
      <sz val="9"/>
      <color indexed="81"/>
      <name val="Tahoma"/>
      <family val="2"/>
    </font>
    <font>
      <b/>
      <sz val="11"/>
      <name val="ＭＳ Ｐゴシック"/>
      <family val="3"/>
      <charset val="128"/>
    </font>
    <font>
      <b/>
      <u/>
      <sz val="11"/>
      <name val="ＭＳ Ｐゴシック"/>
      <family val="3"/>
      <charset val="128"/>
    </font>
    <font>
      <u/>
      <sz val="11"/>
      <name val="ＭＳ Ｐゴシック"/>
      <family val="3"/>
      <charset val="128"/>
    </font>
    <font>
      <b/>
      <sz val="8"/>
      <color indexed="81"/>
      <name val="Tahoma"/>
      <family val="2"/>
    </font>
    <font>
      <sz val="8"/>
      <color indexed="81"/>
      <name val="Tahoma"/>
      <family val="2"/>
    </font>
    <font>
      <sz val="6"/>
      <name val="ＭＳ Ｐゴシック"/>
      <family val="3"/>
      <charset val="128"/>
    </font>
    <font>
      <b/>
      <i/>
      <sz val="11"/>
      <name val="ＭＳ Ｐゴシック"/>
      <family val="3"/>
      <charset val="128"/>
    </font>
    <font>
      <sz val="11"/>
      <name val="ＭＳ Ｐゴシック"/>
      <family val="3"/>
      <charset val="128"/>
    </font>
    <font>
      <b/>
      <sz val="9"/>
      <name val="ＭＳ Ｐゴシック"/>
      <family val="3"/>
      <charset val="128"/>
    </font>
    <font>
      <b/>
      <sz val="11"/>
      <color indexed="10"/>
      <name val="ＭＳ Ｐゴシック"/>
      <family val="3"/>
      <charset val="128"/>
    </font>
    <font>
      <sz val="11"/>
      <color indexed="10"/>
      <name val="ＭＳ Ｐゴシック"/>
      <family val="3"/>
      <charset val="128"/>
    </font>
    <font>
      <b/>
      <u/>
      <sz val="11"/>
      <color indexed="10"/>
      <name val="ＭＳ Ｐゴシック"/>
      <family val="3"/>
      <charset val="128"/>
    </font>
    <font>
      <b/>
      <strike/>
      <u/>
      <sz val="11"/>
      <color indexed="10"/>
      <name val="ＭＳ Ｐゴシック"/>
      <family val="3"/>
      <charset val="128"/>
    </font>
    <font>
      <b/>
      <strike/>
      <sz val="11"/>
      <color indexed="10"/>
      <name val="ＭＳ Ｐゴシック"/>
      <family val="3"/>
      <charset val="128"/>
    </font>
    <font>
      <strike/>
      <sz val="11"/>
      <name val="ＭＳ Ｐゴシック"/>
      <family val="3"/>
      <charset val="128"/>
    </font>
    <font>
      <sz val="11"/>
      <color rgb="FFFF0000"/>
      <name val="ＭＳ Ｐゴシック"/>
      <family val="3"/>
      <charset val="128"/>
    </font>
    <font>
      <b/>
      <u/>
      <sz val="11"/>
      <color rgb="FFFF0000"/>
      <name val="ＭＳ Ｐゴシック"/>
      <family val="3"/>
      <charset val="128"/>
    </font>
    <font>
      <b/>
      <strike/>
      <sz val="11"/>
      <color rgb="FFFF0000"/>
      <name val="ＭＳ Ｐゴシック"/>
      <family val="3"/>
      <charset val="128"/>
    </font>
    <font>
      <b/>
      <sz val="11"/>
      <color rgb="FFFF0000"/>
      <name val="ＭＳ Ｐゴシック"/>
      <family val="3"/>
      <charset val="128"/>
    </font>
    <font>
      <b/>
      <sz val="10"/>
      <name val="Arial"/>
      <family val="2"/>
    </font>
    <font>
      <b/>
      <sz val="16"/>
      <color rgb="FFFF0000"/>
      <name val="Arial"/>
      <family val="2"/>
    </font>
    <font>
      <b/>
      <sz val="20"/>
      <color rgb="FFFF0000"/>
      <name val="Arial"/>
      <family val="2"/>
    </font>
  </fonts>
  <fills count="5">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0"/>
        <bgColor indexed="64"/>
      </patternFill>
    </fill>
  </fills>
  <borders count="25">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s>
  <cellStyleXfs count="1">
    <xf numFmtId="0" fontId="0" fillId="0" borderId="0"/>
  </cellStyleXfs>
  <cellXfs count="154">
    <xf numFmtId="0" fontId="0" fillId="0" borderId="0" xfId="0"/>
    <xf numFmtId="0" fontId="3" fillId="0" borderId="0" xfId="0" applyFont="1" applyFill="1" applyProtection="1"/>
    <xf numFmtId="0" fontId="4" fillId="0" borderId="0" xfId="0" applyFont="1" applyFill="1" applyProtection="1"/>
    <xf numFmtId="0" fontId="3" fillId="0" borderId="0" xfId="0" applyFont="1" applyFill="1" applyAlignment="1" applyProtection="1"/>
    <xf numFmtId="0" fontId="3" fillId="0" borderId="0" xfId="0" applyFont="1" applyFill="1"/>
    <xf numFmtId="49" fontId="7" fillId="0" borderId="0" xfId="0" applyNumberFormat="1" applyFont="1" applyFill="1" applyProtection="1"/>
    <xf numFmtId="49" fontId="3" fillId="0" borderId="0" xfId="0" applyNumberFormat="1" applyFont="1" applyFill="1"/>
    <xf numFmtId="0" fontId="7" fillId="0" borderId="0" xfId="0" applyFont="1" applyFill="1" applyProtection="1"/>
    <xf numFmtId="0" fontId="14" fillId="0" borderId="0" xfId="0" applyFont="1"/>
    <xf numFmtId="0" fontId="16" fillId="0" borderId="0" xfId="0" applyFont="1"/>
    <xf numFmtId="0" fontId="16" fillId="0" borderId="0" xfId="0" quotePrefix="1" applyFont="1"/>
    <xf numFmtId="0" fontId="17" fillId="0" borderId="0" xfId="0" applyFont="1"/>
    <xf numFmtId="0" fontId="18" fillId="0" borderId="0" xfId="0" applyFont="1"/>
    <xf numFmtId="49" fontId="3" fillId="0" borderId="0" xfId="0" applyNumberFormat="1" applyFont="1" applyFill="1" applyProtection="1"/>
    <xf numFmtId="0" fontId="22" fillId="0" borderId="0" xfId="0" applyFont="1"/>
    <xf numFmtId="0" fontId="23" fillId="0" borderId="0" xfId="0" applyFont="1" applyAlignment="1">
      <alignment horizontal="right"/>
    </xf>
    <xf numFmtId="0" fontId="23" fillId="0" borderId="0" xfId="0" applyFont="1"/>
    <xf numFmtId="0" fontId="23" fillId="0" borderId="0" xfId="0" applyFont="1" applyAlignment="1">
      <alignment horizontal="left"/>
    </xf>
    <xf numFmtId="0" fontId="23" fillId="0" borderId="0" xfId="0" applyFont="1" applyAlignment="1">
      <alignment horizontal="center"/>
    </xf>
    <xf numFmtId="0" fontId="22" fillId="0" borderId="0" xfId="0" applyFont="1" applyAlignment="1">
      <alignment horizontal="right"/>
    </xf>
    <xf numFmtId="0" fontId="16" fillId="0" borderId="0" xfId="0" quotePrefix="1" applyFont="1" applyAlignment="1">
      <alignment vertical="top"/>
    </xf>
    <xf numFmtId="0" fontId="0" fillId="0" borderId="0" xfId="0" applyAlignment="1">
      <alignment vertical="top"/>
    </xf>
    <xf numFmtId="0" fontId="0" fillId="0" borderId="0" xfId="0" applyAlignment="1">
      <alignment vertical="top" wrapText="1"/>
    </xf>
    <xf numFmtId="0" fontId="16" fillId="0" borderId="0" xfId="0" applyFont="1" applyAlignment="1">
      <alignment horizontal="right"/>
    </xf>
    <xf numFmtId="164" fontId="3" fillId="0" borderId="0" xfId="0" applyNumberFormat="1" applyFont="1" applyFill="1" applyProtection="1"/>
    <xf numFmtId="166" fontId="7" fillId="0" borderId="3" xfId="0" applyNumberFormat="1" applyFont="1" applyFill="1" applyBorder="1" applyProtection="1"/>
    <xf numFmtId="164" fontId="3" fillId="0" borderId="0" xfId="0" applyNumberFormat="1" applyFont="1" applyFill="1"/>
    <xf numFmtId="166" fontId="7" fillId="0" borderId="3" xfId="0" applyNumberFormat="1" applyFont="1" applyFill="1" applyBorder="1" applyAlignment="1" applyProtection="1">
      <alignment horizontal="left"/>
    </xf>
    <xf numFmtId="164" fontId="3" fillId="0" borderId="0" xfId="0" applyNumberFormat="1" applyFont="1" applyFill="1" applyBorder="1" applyProtection="1"/>
    <xf numFmtId="167" fontId="7" fillId="0" borderId="3" xfId="0" applyNumberFormat="1" applyFont="1" applyFill="1" applyBorder="1" applyProtection="1"/>
    <xf numFmtId="0" fontId="16" fillId="0" borderId="0" xfId="0" quotePrefix="1" applyFont="1" applyAlignment="1">
      <alignment horizontal="left" vertical="top"/>
    </xf>
    <xf numFmtId="0" fontId="25" fillId="0" borderId="0" xfId="0" applyFont="1" applyAlignment="1">
      <alignment vertical="top" wrapText="1"/>
    </xf>
    <xf numFmtId="0" fontId="16" fillId="0" borderId="0" xfId="0" applyFont="1" applyAlignment="1">
      <alignment vertical="top"/>
    </xf>
    <xf numFmtId="17" fontId="0" fillId="0" borderId="0" xfId="0" applyNumberFormat="1" applyAlignment="1">
      <alignment vertical="top"/>
    </xf>
    <xf numFmtId="17" fontId="23" fillId="0" borderId="0" xfId="0" applyNumberFormat="1" applyFont="1" applyAlignment="1">
      <alignment vertical="top"/>
    </xf>
    <xf numFmtId="0" fontId="23" fillId="0" borderId="0" xfId="0" applyFont="1" applyAlignment="1">
      <alignment vertical="top" wrapText="1"/>
    </xf>
    <xf numFmtId="0" fontId="23" fillId="0" borderId="0" xfId="0" quotePrefix="1" applyFont="1"/>
    <xf numFmtId="0" fontId="16" fillId="0" borderId="0" xfId="0" applyFont="1" applyAlignment="1">
      <alignment horizontal="left" vertical="top"/>
    </xf>
    <xf numFmtId="0" fontId="25" fillId="0" borderId="0" xfId="0" applyFont="1" applyAlignment="1">
      <alignment horizontal="left" vertical="top" wrapText="1"/>
    </xf>
    <xf numFmtId="0" fontId="16" fillId="0" borderId="0" xfId="0" applyFont="1" applyAlignment="1">
      <alignment horizontal="left" vertical="top" wrapText="1"/>
    </xf>
    <xf numFmtId="0" fontId="0" fillId="0" borderId="0" xfId="0" applyFont="1"/>
    <xf numFmtId="0" fontId="31" fillId="0" borderId="0" xfId="0" applyFont="1"/>
    <xf numFmtId="0" fontId="0" fillId="0" borderId="0" xfId="0" applyFont="1" applyAlignment="1">
      <alignment vertical="top"/>
    </xf>
    <xf numFmtId="0" fontId="32" fillId="0" borderId="0" xfId="0" applyFont="1"/>
    <xf numFmtId="0" fontId="0" fillId="0" borderId="0" xfId="0" applyFont="1" applyAlignment="1">
      <alignment vertical="top" wrapText="1"/>
    </xf>
    <xf numFmtId="17" fontId="0" fillId="0" borderId="0" xfId="0" applyNumberFormat="1" applyFont="1" applyAlignment="1">
      <alignment vertical="top"/>
    </xf>
    <xf numFmtId="0" fontId="33" fillId="0" borderId="0" xfId="0" applyFont="1" applyAlignment="1">
      <alignment horizontal="center"/>
    </xf>
    <xf numFmtId="0" fontId="33" fillId="0" borderId="0" xfId="0" applyFont="1"/>
    <xf numFmtId="0" fontId="34" fillId="0" borderId="0" xfId="0" applyFont="1" applyAlignment="1">
      <alignment horizontal="center"/>
    </xf>
    <xf numFmtId="0" fontId="34" fillId="0" borderId="0" xfId="0" applyFont="1"/>
    <xf numFmtId="0" fontId="16" fillId="0" borderId="0" xfId="0" applyFont="1" applyAlignment="1">
      <alignment horizontal="center"/>
    </xf>
    <xf numFmtId="166" fontId="7" fillId="0" borderId="6" xfId="0" applyNumberFormat="1" applyFont="1" applyFill="1" applyBorder="1" applyAlignment="1" applyProtection="1">
      <alignment horizontal="center" vertical="center"/>
    </xf>
    <xf numFmtId="166" fontId="7" fillId="0" borderId="7" xfId="0" applyNumberFormat="1" applyFont="1" applyFill="1" applyBorder="1" applyAlignment="1" applyProtection="1">
      <alignment horizontal="center" vertical="center"/>
    </xf>
    <xf numFmtId="0" fontId="3" fillId="0" borderId="0" xfId="0" applyFont="1" applyFill="1" applyAlignment="1" applyProtection="1">
      <alignment vertical="top" wrapText="1"/>
    </xf>
    <xf numFmtId="0" fontId="11" fillId="0" borderId="4" xfId="0" applyFont="1" applyFill="1" applyBorder="1" applyAlignment="1" applyProtection="1">
      <alignment horizontal="center" vertical="top" wrapText="1"/>
    </xf>
    <xf numFmtId="0" fontId="11" fillId="0" borderId="5" xfId="0" applyFont="1" applyFill="1" applyBorder="1" applyAlignment="1" applyProtection="1">
      <alignment horizontal="center" vertical="top" wrapText="1"/>
    </xf>
    <xf numFmtId="0" fontId="7" fillId="0" borderId="0" xfId="0" applyFont="1" applyFill="1" applyAlignment="1" applyProtection="1">
      <alignment vertical="top" wrapText="1"/>
    </xf>
    <xf numFmtId="0" fontId="14" fillId="0" borderId="0" xfId="0" applyFont="1" applyAlignment="1" applyProtection="1">
      <alignment vertical="top" wrapText="1"/>
    </xf>
    <xf numFmtId="164" fontId="2" fillId="0" borderId="3" xfId="0" applyNumberFormat="1" applyFont="1" applyBorder="1" applyAlignment="1" applyProtection="1">
      <alignment vertical="top" wrapText="1"/>
    </xf>
    <xf numFmtId="164" fontId="2" fillId="0" borderId="3" xfId="0" applyNumberFormat="1" applyFont="1" applyFill="1" applyBorder="1" applyAlignment="1" applyProtection="1">
      <alignment vertical="top" wrapText="1"/>
    </xf>
    <xf numFmtId="0" fontId="3" fillId="0" borderId="0" xfId="0" applyFont="1" applyFill="1" applyAlignment="1">
      <alignment vertical="top" wrapText="1"/>
    </xf>
    <xf numFmtId="0" fontId="3" fillId="0" borderId="0" xfId="0" applyFont="1" applyFill="1" applyAlignment="1" applyProtection="1">
      <alignment vertical="center"/>
    </xf>
    <xf numFmtId="0" fontId="4" fillId="0" borderId="0" xfId="0" applyFont="1" applyFill="1" applyAlignment="1" applyProtection="1">
      <alignment horizontal="left" vertical="center"/>
    </xf>
    <xf numFmtId="0" fontId="0" fillId="0" borderId="0" xfId="0" applyAlignment="1" applyProtection="1">
      <alignment horizontal="centerContinuous" vertical="center"/>
    </xf>
    <xf numFmtId="0" fontId="4" fillId="0" borderId="0" xfId="0" applyFont="1" applyFill="1" applyAlignment="1" applyProtection="1">
      <alignment vertical="center"/>
    </xf>
    <xf numFmtId="0" fontId="4" fillId="0" borderId="0" xfId="0" applyFont="1" applyAlignment="1" applyProtection="1">
      <alignment horizontal="centerContinuous" vertical="center"/>
    </xf>
    <xf numFmtId="0" fontId="5" fillId="0" borderId="0" xfId="0" applyFont="1" applyFill="1" applyAlignment="1" applyProtection="1">
      <alignment horizontal="left" vertical="center"/>
      <protection locked="0"/>
    </xf>
    <xf numFmtId="0" fontId="3" fillId="0" borderId="0" xfId="0" applyFont="1" applyFill="1" applyAlignment="1" applyProtection="1">
      <alignment horizontal="centerContinuous" vertical="center"/>
    </xf>
    <xf numFmtId="0" fontId="3" fillId="0" borderId="0" xfId="0" applyNumberFormat="1" applyFont="1" applyFill="1" applyAlignment="1" applyProtection="1">
      <alignment vertical="center"/>
    </xf>
    <xf numFmtId="0" fontId="5" fillId="0" borderId="0" xfId="0" applyFont="1" applyFill="1" applyAlignment="1" applyProtection="1">
      <alignment vertical="center"/>
    </xf>
    <xf numFmtId="0" fontId="6" fillId="0" borderId="0" xfId="0" applyNumberFormat="1" applyFont="1" applyFill="1" applyAlignment="1" applyProtection="1">
      <alignment vertical="center"/>
    </xf>
    <xf numFmtId="0" fontId="7" fillId="0" borderId="0" xfId="0" applyFont="1" applyFill="1" applyAlignment="1" applyProtection="1">
      <alignment horizontal="right" vertical="center"/>
    </xf>
    <xf numFmtId="168" fontId="8" fillId="0" borderId="0" xfId="0" quotePrefix="1" applyNumberFormat="1" applyFont="1" applyFill="1" applyAlignment="1" applyProtection="1">
      <alignment vertical="center"/>
      <protection locked="0"/>
    </xf>
    <xf numFmtId="0" fontId="8" fillId="0" borderId="0" xfId="0" applyFont="1" applyAlignment="1" applyProtection="1">
      <alignment horizontal="center" vertical="center"/>
      <protection locked="0"/>
    </xf>
    <xf numFmtId="0" fontId="8" fillId="0" borderId="0" xfId="0" applyFont="1" applyFill="1" applyAlignment="1" applyProtection="1">
      <alignment horizontal="left" vertical="center"/>
      <protection locked="0"/>
    </xf>
    <xf numFmtId="0" fontId="1" fillId="0" borderId="0" xfId="0" applyFont="1" applyAlignment="1" applyProtection="1">
      <alignment vertical="center"/>
    </xf>
    <xf numFmtId="22" fontId="3" fillId="0" borderId="0" xfId="0" applyNumberFormat="1" applyFont="1" applyFill="1" applyAlignment="1" applyProtection="1">
      <alignment vertical="center"/>
    </xf>
    <xf numFmtId="0" fontId="7" fillId="0" borderId="0" xfId="0" applyFont="1" applyFill="1" applyAlignment="1" applyProtection="1">
      <alignment vertical="center"/>
    </xf>
    <xf numFmtId="0" fontId="10" fillId="0" borderId="0" xfId="0" applyFont="1" applyFill="1" applyAlignment="1" applyProtection="1">
      <alignment vertical="center"/>
    </xf>
    <xf numFmtId="20" fontId="10" fillId="0" borderId="0" xfId="0" applyNumberFormat="1" applyFont="1" applyFill="1" applyAlignment="1" applyProtection="1">
      <alignment vertical="center"/>
    </xf>
    <xf numFmtId="169" fontId="7" fillId="0" borderId="3" xfId="0" applyNumberFormat="1" applyFont="1" applyFill="1" applyBorder="1" applyAlignment="1" applyProtection="1">
      <alignment horizontal="center" vertical="center"/>
      <protection hidden="1"/>
    </xf>
    <xf numFmtId="49" fontId="0" fillId="0" borderId="0" xfId="0" applyNumberFormat="1" applyAlignment="1" applyProtection="1">
      <alignment vertical="center"/>
    </xf>
    <xf numFmtId="170" fontId="24" fillId="0" borderId="3" xfId="0" applyNumberFormat="1" applyFont="1" applyFill="1" applyBorder="1" applyAlignment="1" applyProtection="1">
      <alignment horizontal="center" vertical="center"/>
      <protection hidden="1"/>
    </xf>
    <xf numFmtId="49" fontId="7" fillId="0" borderId="3" xfId="0" applyNumberFormat="1" applyFont="1" applyFill="1" applyBorder="1" applyAlignment="1" applyProtection="1">
      <alignment horizontal="center" vertical="center"/>
      <protection locked="0"/>
    </xf>
    <xf numFmtId="0" fontId="7" fillId="0" borderId="3" xfId="0" applyFont="1" applyFill="1" applyBorder="1" applyAlignment="1" applyProtection="1">
      <alignment horizontal="center" vertical="center"/>
      <protection locked="0"/>
    </xf>
    <xf numFmtId="49" fontId="7" fillId="0" borderId="3" xfId="0" applyNumberFormat="1" applyFont="1" applyFill="1" applyBorder="1" applyAlignment="1" applyProtection="1">
      <alignment horizontal="center" vertical="center"/>
      <protection locked="0" hidden="1"/>
    </xf>
    <xf numFmtId="165" fontId="7" fillId="0" borderId="3" xfId="0" applyNumberFormat="1" applyFont="1" applyFill="1" applyBorder="1" applyAlignment="1" applyProtection="1">
      <alignment horizontal="center" vertical="center"/>
      <protection locked="0" hidden="1"/>
    </xf>
    <xf numFmtId="0" fontId="12" fillId="0" borderId="4" xfId="0" applyFont="1" applyFill="1" applyBorder="1" applyAlignment="1" applyProtection="1">
      <alignment horizontal="center" vertical="center"/>
    </xf>
    <xf numFmtId="0" fontId="12" fillId="0" borderId="5" xfId="0" applyFont="1" applyFill="1" applyBorder="1" applyAlignment="1" applyProtection="1">
      <alignment horizontal="center" vertical="center"/>
    </xf>
    <xf numFmtId="0" fontId="7" fillId="0" borderId="0" xfId="0" applyFont="1" applyFill="1" applyAlignment="1" applyProtection="1">
      <alignment horizontal="center" vertical="center"/>
    </xf>
    <xf numFmtId="166" fontId="7" fillId="0" borderId="3" xfId="0" applyNumberFormat="1" applyFont="1" applyFill="1" applyBorder="1" applyAlignment="1" applyProtection="1">
      <alignment vertical="center"/>
    </xf>
    <xf numFmtId="0" fontId="0" fillId="0" borderId="0" xfId="0" applyAlignment="1" applyProtection="1">
      <alignment vertical="center"/>
    </xf>
    <xf numFmtId="164" fontId="7" fillId="0" borderId="3" xfId="0" applyNumberFormat="1" applyFont="1" applyFill="1" applyBorder="1" applyAlignment="1" applyProtection="1">
      <alignment vertical="center"/>
    </xf>
    <xf numFmtId="164" fontId="7" fillId="0" borderId="3" xfId="0" applyNumberFormat="1" applyFont="1" applyFill="1" applyBorder="1" applyAlignment="1" applyProtection="1">
      <alignment horizontal="center" vertical="center"/>
    </xf>
    <xf numFmtId="0" fontId="3" fillId="0" borderId="0" xfId="0" applyFont="1" applyFill="1" applyAlignment="1">
      <alignment vertical="center"/>
    </xf>
    <xf numFmtId="0" fontId="11" fillId="0" borderId="3" xfId="0" applyFont="1" applyFill="1" applyBorder="1" applyAlignment="1" applyProtection="1">
      <alignment horizontal="center"/>
    </xf>
    <xf numFmtId="0" fontId="11" fillId="0" borderId="13" xfId="0" applyFont="1" applyFill="1" applyBorder="1" applyAlignment="1" applyProtection="1">
      <alignment horizontal="center" vertical="center"/>
    </xf>
    <xf numFmtId="0" fontId="11" fillId="0" borderId="14" xfId="0" applyFont="1" applyFill="1" applyBorder="1" applyAlignment="1" applyProtection="1">
      <alignment horizontal="center" vertical="center"/>
    </xf>
    <xf numFmtId="0" fontId="11" fillId="0" borderId="15" xfId="0" applyFont="1" applyFill="1" applyBorder="1" applyAlignment="1" applyProtection="1">
      <alignment horizontal="center" vertical="center" wrapText="1"/>
    </xf>
    <xf numFmtId="0" fontId="7" fillId="0" borderId="13" xfId="0" applyFont="1" applyFill="1" applyBorder="1" applyAlignment="1" applyProtection="1">
      <alignment horizontal="center" vertical="center"/>
      <protection locked="0"/>
    </xf>
    <xf numFmtId="0" fontId="7" fillId="0" borderId="14" xfId="0" applyFont="1" applyFill="1" applyBorder="1" applyAlignment="1" applyProtection="1">
      <alignment horizontal="center" vertical="center"/>
      <protection locked="0"/>
    </xf>
    <xf numFmtId="0" fontId="13" fillId="0" borderId="19" xfId="0" applyFont="1" applyFill="1" applyBorder="1" applyAlignment="1" applyProtection="1">
      <alignment horizontal="center" vertical="center"/>
    </xf>
    <xf numFmtId="0" fontId="7" fillId="0" borderId="0" xfId="0" applyFont="1" applyFill="1" applyAlignment="1" applyProtection="1">
      <alignment horizontal="right" vertical="top" wrapText="1"/>
    </xf>
    <xf numFmtId="0" fontId="24" fillId="0" borderId="0" xfId="0" applyFont="1" applyAlignment="1" applyProtection="1">
      <alignment vertical="top" wrapText="1"/>
    </xf>
    <xf numFmtId="164" fontId="2" fillId="0" borderId="3" xfId="0" applyNumberFormat="1" applyFont="1" applyBorder="1" applyAlignment="1" applyProtection="1">
      <alignment horizontal="left" vertical="top" wrapText="1"/>
    </xf>
    <xf numFmtId="0" fontId="0" fillId="0" borderId="0" xfId="0" applyFont="1" applyAlignment="1">
      <alignment horizontal="left" vertical="top" wrapText="1"/>
    </xf>
    <xf numFmtId="17" fontId="25" fillId="0" borderId="0" xfId="0" quotePrefix="1" applyNumberFormat="1" applyFont="1" applyAlignment="1">
      <alignment vertical="top"/>
    </xf>
    <xf numFmtId="0" fontId="0" fillId="0" borderId="0" xfId="0" applyAlignment="1">
      <alignment vertical="top"/>
    </xf>
    <xf numFmtId="0" fontId="0" fillId="0" borderId="0" xfId="0" applyAlignment="1"/>
    <xf numFmtId="0" fontId="36" fillId="0" borderId="4" xfId="0" applyFont="1" applyFill="1" applyBorder="1" applyAlignment="1" applyProtection="1">
      <alignment horizontal="center" vertical="center"/>
    </xf>
    <xf numFmtId="0" fontId="36" fillId="0" borderId="5" xfId="0" applyFont="1" applyFill="1" applyBorder="1" applyAlignment="1" applyProtection="1">
      <alignment horizontal="center" vertical="center"/>
    </xf>
    <xf numFmtId="0" fontId="37" fillId="0" borderId="0" xfId="0" applyFont="1" applyFill="1" applyAlignment="1" applyProtection="1">
      <alignment horizontal="center" vertical="center"/>
    </xf>
    <xf numFmtId="0" fontId="0" fillId="0" borderId="0" xfId="0" quotePrefix="1"/>
    <xf numFmtId="0" fontId="7" fillId="0" borderId="15" xfId="0" applyFont="1" applyFill="1" applyBorder="1" applyAlignment="1" applyProtection="1">
      <alignment horizontal="center" vertical="center" wrapText="1"/>
      <protection locked="0"/>
    </xf>
    <xf numFmtId="0" fontId="0" fillId="3" borderId="0" xfId="0" applyFill="1"/>
    <xf numFmtId="0" fontId="13" fillId="2" borderId="21" xfId="0" applyFont="1" applyFill="1" applyBorder="1" applyAlignment="1" applyProtection="1">
      <alignment horizontal="center" vertical="center"/>
    </xf>
    <xf numFmtId="0" fontId="13" fillId="4" borderId="20" xfId="0" applyFont="1" applyFill="1" applyBorder="1" applyAlignment="1" applyProtection="1">
      <alignment horizontal="center" vertical="center"/>
    </xf>
    <xf numFmtId="0" fontId="13" fillId="4" borderId="2" xfId="0" applyFont="1" applyFill="1" applyBorder="1" applyAlignment="1" applyProtection="1">
      <alignment horizontal="center" vertical="center"/>
    </xf>
    <xf numFmtId="171" fontId="7" fillId="0" borderId="19" xfId="0" applyNumberFormat="1" applyFont="1" applyFill="1" applyBorder="1" applyAlignment="1" applyProtection="1">
      <alignment horizontal="center" vertical="center"/>
      <protection locked="0"/>
    </xf>
    <xf numFmtId="171" fontId="7" fillId="2" borderId="21" xfId="0" applyNumberFormat="1" applyFont="1" applyFill="1" applyBorder="1" applyAlignment="1" applyProtection="1">
      <alignment horizontal="center" vertical="center"/>
      <protection locked="0"/>
    </xf>
    <xf numFmtId="171" fontId="7" fillId="4" borderId="20" xfId="0" applyNumberFormat="1" applyFont="1" applyFill="1" applyBorder="1" applyAlignment="1" applyProtection="1">
      <alignment horizontal="center" vertical="center"/>
      <protection locked="0"/>
    </xf>
    <xf numFmtId="171" fontId="11" fillId="0" borderId="19" xfId="0" applyNumberFormat="1" applyFont="1" applyFill="1" applyBorder="1" applyAlignment="1" applyProtection="1">
      <alignment horizontal="center" vertical="center"/>
    </xf>
    <xf numFmtId="171" fontId="11" fillId="2" borderId="21" xfId="0" applyNumberFormat="1" applyFont="1" applyFill="1" applyBorder="1" applyAlignment="1" applyProtection="1">
      <alignment horizontal="center" vertical="center"/>
    </xf>
    <xf numFmtId="171" fontId="11" fillId="4" borderId="2" xfId="0" applyNumberFormat="1" applyFont="1" applyFill="1" applyBorder="1" applyAlignment="1" applyProtection="1">
      <alignment horizontal="center" vertical="center"/>
    </xf>
    <xf numFmtId="171" fontId="11" fillId="4" borderId="21" xfId="0" applyNumberFormat="1" applyFont="1" applyFill="1" applyBorder="1" applyAlignment="1" applyProtection="1">
      <alignment horizontal="center" vertical="center"/>
    </xf>
    <xf numFmtId="0" fontId="0" fillId="0" borderId="0" xfId="0" applyAlignment="1">
      <alignment vertical="top"/>
    </xf>
    <xf numFmtId="0" fontId="5" fillId="0" borderId="0" xfId="0" applyFont="1" applyFill="1" applyAlignment="1" applyProtection="1">
      <alignment vertical="center"/>
      <protection locked="0"/>
    </xf>
    <xf numFmtId="0" fontId="35" fillId="0" borderId="8" xfId="0" applyFont="1" applyFill="1" applyBorder="1" applyAlignment="1" applyProtection="1">
      <alignment horizontal="center" vertical="center" wrapText="1"/>
    </xf>
    <xf numFmtId="0" fontId="35" fillId="0" borderId="0" xfId="0" applyFont="1" applyFill="1" applyBorder="1" applyAlignment="1" applyProtection="1">
      <alignment horizontal="center" vertical="center" wrapText="1"/>
    </xf>
    <xf numFmtId="0" fontId="35" fillId="0" borderId="9" xfId="0" applyFont="1" applyFill="1" applyBorder="1" applyAlignment="1" applyProtection="1">
      <alignment horizontal="center" vertical="center" wrapText="1"/>
    </xf>
    <xf numFmtId="0" fontId="35" fillId="0" borderId="10" xfId="0" applyFont="1" applyFill="1" applyBorder="1" applyAlignment="1" applyProtection="1">
      <alignment horizontal="center" vertical="center" wrapText="1"/>
    </xf>
    <xf numFmtId="0" fontId="35" fillId="0" borderId="11" xfId="0" applyFont="1" applyFill="1" applyBorder="1" applyAlignment="1" applyProtection="1">
      <alignment horizontal="center" vertical="center" wrapText="1"/>
    </xf>
    <xf numFmtId="0" fontId="35" fillId="0" borderId="12" xfId="0" applyFont="1" applyFill="1" applyBorder="1" applyAlignment="1" applyProtection="1">
      <alignment horizontal="center" vertical="center" wrapText="1"/>
    </xf>
    <xf numFmtId="0" fontId="7" fillId="0" borderId="22" xfId="0" applyFont="1" applyFill="1" applyBorder="1" applyAlignment="1" applyProtection="1">
      <alignment horizontal="center" vertical="center" wrapText="1" shrinkToFit="1"/>
      <protection locked="0"/>
    </xf>
    <xf numFmtId="0" fontId="7" fillId="0" borderId="23" xfId="0" applyFont="1" applyFill="1" applyBorder="1" applyAlignment="1" applyProtection="1">
      <alignment horizontal="center" vertical="center" wrapText="1" shrinkToFit="1"/>
      <protection locked="0"/>
    </xf>
    <xf numFmtId="0" fontId="7" fillId="0" borderId="24" xfId="0" applyFont="1" applyFill="1" applyBorder="1" applyAlignment="1" applyProtection="1">
      <alignment horizontal="center" vertical="center" wrapText="1" shrinkToFit="1"/>
      <protection locked="0"/>
    </xf>
    <xf numFmtId="0" fontId="7" fillId="0" borderId="10" xfId="0" applyFont="1" applyFill="1" applyBorder="1" applyAlignment="1" applyProtection="1">
      <alignment horizontal="center" vertical="center" wrapText="1" shrinkToFit="1"/>
      <protection locked="0"/>
    </xf>
    <xf numFmtId="0" fontId="7" fillId="0" borderId="11" xfId="0" applyFont="1" applyFill="1" applyBorder="1" applyAlignment="1" applyProtection="1">
      <alignment horizontal="center" vertical="center" wrapText="1" shrinkToFit="1"/>
      <protection locked="0"/>
    </xf>
    <xf numFmtId="0" fontId="7" fillId="0" borderId="12" xfId="0" applyFont="1" applyFill="1" applyBorder="1" applyAlignment="1" applyProtection="1">
      <alignment horizontal="center" vertical="center" wrapText="1" shrinkToFit="1"/>
      <protection locked="0"/>
    </xf>
    <xf numFmtId="0" fontId="5" fillId="0" borderId="0" xfId="0" applyFont="1" applyFill="1" applyAlignment="1" applyProtection="1">
      <alignment vertical="center"/>
      <protection locked="0"/>
    </xf>
    <xf numFmtId="0" fontId="11" fillId="0" borderId="16" xfId="0" applyFont="1" applyFill="1" applyBorder="1" applyAlignment="1" applyProtection="1">
      <alignment horizontal="center" vertical="center" wrapText="1"/>
    </xf>
    <xf numFmtId="0" fontId="11" fillId="0" borderId="17" xfId="0" applyFont="1" applyFill="1" applyBorder="1" applyAlignment="1" applyProtection="1">
      <alignment horizontal="center" vertical="center" wrapText="1"/>
    </xf>
    <xf numFmtId="0" fontId="11" fillId="0" borderId="18" xfId="0" applyFont="1" applyFill="1" applyBorder="1" applyAlignment="1" applyProtection="1">
      <alignment horizontal="center" vertical="center" wrapText="1"/>
    </xf>
    <xf numFmtId="0" fontId="11" fillId="0" borderId="1" xfId="0" applyFont="1" applyFill="1" applyBorder="1" applyAlignment="1" applyProtection="1">
      <alignment horizontal="center" vertical="top" wrapText="1"/>
    </xf>
    <xf numFmtId="0" fontId="11" fillId="0" borderId="2" xfId="0" applyFont="1" applyFill="1" applyBorder="1" applyAlignment="1" applyProtection="1">
      <alignment horizontal="center" vertical="top" wrapText="1"/>
    </xf>
    <xf numFmtId="49" fontId="11" fillId="0" borderId="1" xfId="0" applyNumberFormat="1" applyFont="1" applyFill="1" applyBorder="1" applyAlignment="1" applyProtection="1">
      <alignment horizontal="center" vertical="top" wrapText="1"/>
    </xf>
    <xf numFmtId="49" fontId="11" fillId="0" borderId="2" xfId="0" applyNumberFormat="1" applyFont="1" applyFill="1" applyBorder="1" applyAlignment="1" applyProtection="1">
      <alignment horizontal="center" vertical="top" wrapText="1"/>
    </xf>
    <xf numFmtId="0" fontId="0" fillId="0" borderId="0" xfId="0" applyFont="1" applyAlignment="1">
      <alignment vertical="top" wrapText="1"/>
    </xf>
    <xf numFmtId="0" fontId="25" fillId="0" borderId="0" xfId="0" applyFont="1" applyAlignment="1">
      <alignment vertical="top" wrapText="1"/>
    </xf>
    <xf numFmtId="0" fontId="0" fillId="0" borderId="0" xfId="0" applyAlignment="1">
      <alignment vertical="top" wrapText="1"/>
    </xf>
    <xf numFmtId="0" fontId="0" fillId="0" borderId="0" xfId="0" applyAlignment="1">
      <alignment vertical="top"/>
    </xf>
    <xf numFmtId="0" fontId="23" fillId="0" borderId="0" xfId="0" applyFont="1" applyAlignment="1">
      <alignment vertical="top" wrapText="1"/>
    </xf>
    <xf numFmtId="0" fontId="34" fillId="3" borderId="0" xfId="0" applyFont="1" applyFill="1" applyBorder="1" applyAlignment="1">
      <alignment horizontal="center"/>
    </xf>
    <xf numFmtId="0" fontId="7" fillId="0" borderId="4" xfId="0" applyFont="1" applyFill="1" applyBorder="1" applyAlignment="1" applyProtection="1">
      <alignment horizontal="center"/>
      <protection locked="0"/>
    </xf>
  </cellXfs>
  <cellStyles count="1">
    <cellStyle name="Normal" xfId="0" builtinId="0"/>
  </cellStyles>
  <dxfs count="6">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color rgb="FFFFFF00"/>
      </font>
      <fill>
        <patternFill>
          <bgColor rgb="FFFF0000"/>
        </patternFill>
      </fill>
    </dxf>
    <dxf>
      <font>
        <b/>
        <i val="0"/>
        <color theme="3" tint="-0.24994659260841701"/>
      </font>
      <fill>
        <patternFill>
          <bgColor rgb="FFFFFF00"/>
        </patternFill>
      </fill>
    </dxf>
    <dxf>
      <font>
        <color auto="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95250</xdr:colOff>
      <xdr:row>0</xdr:row>
      <xdr:rowOff>19050</xdr:rowOff>
    </xdr:from>
    <xdr:to>
      <xdr:col>2</xdr:col>
      <xdr:colOff>228600</xdr:colOff>
      <xdr:row>2</xdr:row>
      <xdr:rowOff>133350</xdr:rowOff>
    </xdr:to>
    <xdr:pic>
      <xdr:nvPicPr>
        <xdr:cNvPr id="1229" name="Picture 10">
          <a:extLst>
            <a:ext uri="{FF2B5EF4-FFF2-40B4-BE49-F238E27FC236}">
              <a16:creationId xmlns:a16="http://schemas.microsoft.com/office/drawing/2014/main" id="{00000000-0008-0000-0000-0000CD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19050"/>
          <a:ext cx="1333500"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ables/table1.xml><?xml version="1.0" encoding="utf-8"?>
<table xmlns="http://schemas.openxmlformats.org/spreadsheetml/2006/main" id="1" name="tblYear" displayName="tblYear" ref="AA1:AA4" totalsRowShown="0">
  <autoFilter ref="AA1:AA4"/>
  <tableColumns count="1">
    <tableColumn id="1" name="Year"/>
  </tableColumns>
  <tableStyleInfo name="TableStyleLight9" showFirstColumn="0" showLastColumn="0" showRowStripes="1" showColumnStripes="0"/>
</table>
</file>

<file path=xl/tables/table2.xml><?xml version="1.0" encoding="utf-8"?>
<table xmlns="http://schemas.openxmlformats.org/spreadsheetml/2006/main" id="2" name="tblMonth" displayName="tblMonth" ref="AC1:AD13" totalsRowShown="0" dataDxfId="2">
  <autoFilter ref="AC1:AD13"/>
  <tableColumns count="2">
    <tableColumn id="1" name="Month" dataDxfId="1"/>
    <tableColumn id="3" name="IntMonth" dataDxfId="0"/>
  </tableColumns>
  <tableStyleInfo name="TableStyleLight10" showFirstColumn="0" showLastColumn="0" showRowStripes="1" showColumnStripes="0"/>
</table>
</file>

<file path=xl/tables/table3.xml><?xml version="1.0" encoding="utf-8"?>
<table xmlns="http://schemas.openxmlformats.org/spreadsheetml/2006/main" id="3" name="tblPeriod" displayName="tblPeriod" ref="AF1:AF3" totalsRowShown="0">
  <autoFilter ref="AF1:AF3"/>
  <tableColumns count="1">
    <tableColumn id="1" name="Period"/>
  </tableColumns>
  <tableStyleInfo name="TableStyleLight12" showFirstColumn="0" showLastColumn="0" showRowStripes="1" showColumnStripes="0"/>
</table>
</file>

<file path=xl/tables/table4.xml><?xml version="1.0" encoding="utf-8"?>
<table xmlns="http://schemas.openxmlformats.org/spreadsheetml/2006/main" id="4" name="tblStatus" displayName="tblStatus" ref="A1:C24" totalsRowShown="0">
  <autoFilter ref="A1:C24"/>
  <tableColumns count="3">
    <tableColumn id="1" name="Status Code"/>
    <tableColumn id="2" name="Description"/>
    <tableColumn id="3" name="Use Flag "/>
  </tableColumns>
  <tableStyleInfo name="TableStyleMedium7" showFirstColumn="0" showLastColumn="0" showRowStripes="1" showColumnStripes="0"/>
</table>
</file>

<file path=xl/tables/table5.xml><?xml version="1.0" encoding="utf-8"?>
<table xmlns="http://schemas.openxmlformats.org/spreadsheetml/2006/main" id="5" name="Table5" displayName="Table5" ref="E1:F11" totalsRowShown="0">
  <autoFilter ref="E1:F11"/>
  <tableColumns count="2">
    <tableColumn id="1" name="Use Flag"/>
    <tableColumn id="2" name="Descriptio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Z114"/>
  <sheetViews>
    <sheetView showGridLines="0" tabSelected="1" zoomScale="70" zoomScaleNormal="70" workbookViewId="0">
      <selection activeCell="O21" sqref="O21"/>
    </sheetView>
  </sheetViews>
  <sheetFormatPr defaultRowHeight="14.25" x14ac:dyDescent="0.2"/>
  <cols>
    <col min="1" max="1" width="6.125" style="4" customWidth="1"/>
    <col min="2" max="2" width="9.625" style="4" customWidth="1"/>
    <col min="3" max="3" width="18" style="60" customWidth="1"/>
    <col min="4" max="4" width="7.5" style="4" customWidth="1"/>
    <col min="5" max="19" width="7.5" style="94" customWidth="1"/>
    <col min="20" max="20" width="7.5" style="61" customWidth="1"/>
    <col min="21" max="21" width="10.625" style="94" customWidth="1"/>
    <col min="22" max="22" width="12.75" style="4" customWidth="1"/>
    <col min="23" max="16384" width="9" style="4"/>
  </cols>
  <sheetData>
    <row r="1" spans="1:26" ht="21.75" customHeight="1" x14ac:dyDescent="0.35">
      <c r="A1" s="1"/>
      <c r="B1" s="1"/>
      <c r="C1" s="53"/>
      <c r="D1" s="2" t="s">
        <v>11</v>
      </c>
      <c r="E1" s="61"/>
      <c r="F1" s="61"/>
      <c r="G1" s="61"/>
      <c r="H1" s="126">
        <v>2019</v>
      </c>
      <c r="I1" s="61"/>
      <c r="J1" s="62" t="s">
        <v>0</v>
      </c>
      <c r="K1" s="63"/>
      <c r="L1" s="139" t="s">
        <v>399</v>
      </c>
      <c r="M1" s="139"/>
      <c r="N1" s="64" t="s">
        <v>69</v>
      </c>
      <c r="O1" s="65"/>
      <c r="P1" s="66">
        <v>1</v>
      </c>
      <c r="Q1" s="67"/>
      <c r="R1" s="67"/>
      <c r="S1" s="61"/>
      <c r="T1" s="68"/>
      <c r="U1" s="61"/>
      <c r="V1" s="1"/>
      <c r="W1" s="1"/>
      <c r="X1" s="1"/>
      <c r="Y1" s="1"/>
      <c r="Z1" s="1"/>
    </row>
    <row r="2" spans="1:26" ht="15.75" customHeight="1" x14ac:dyDescent="0.2">
      <c r="A2" s="1"/>
      <c r="B2" s="1"/>
      <c r="C2" s="53"/>
      <c r="D2" s="1"/>
      <c r="E2" s="61"/>
      <c r="F2" s="61"/>
      <c r="G2" s="61"/>
      <c r="H2" s="69"/>
      <c r="I2" s="61"/>
      <c r="J2" s="61"/>
      <c r="K2" s="61"/>
      <c r="L2" s="61"/>
      <c r="M2" s="61"/>
      <c r="N2" s="61"/>
      <c r="O2" s="61"/>
      <c r="P2" s="61"/>
      <c r="Q2" s="61"/>
      <c r="R2" s="61"/>
      <c r="S2" s="61"/>
      <c r="U2" s="61"/>
      <c r="V2" s="1"/>
      <c r="W2" s="1"/>
      <c r="X2" s="1"/>
      <c r="Y2" s="1"/>
      <c r="Z2" s="1"/>
    </row>
    <row r="3" spans="1:26" ht="15" customHeight="1" x14ac:dyDescent="0.2">
      <c r="A3" s="1"/>
      <c r="B3" s="1"/>
      <c r="C3" s="53"/>
      <c r="D3" s="1"/>
      <c r="E3" s="70"/>
      <c r="F3" s="61"/>
      <c r="G3" s="61"/>
      <c r="H3" s="61"/>
      <c r="I3" s="61"/>
      <c r="J3" s="61"/>
      <c r="K3" s="61"/>
      <c r="L3" s="71" t="s">
        <v>1</v>
      </c>
      <c r="M3" s="72">
        <v>283</v>
      </c>
      <c r="N3" s="71" t="s">
        <v>68</v>
      </c>
      <c r="O3" s="73" t="s">
        <v>478</v>
      </c>
      <c r="P3" s="71" t="s">
        <v>10</v>
      </c>
      <c r="Q3" s="74" t="s">
        <v>477</v>
      </c>
      <c r="R3" s="75"/>
      <c r="S3" s="61"/>
      <c r="U3" s="76"/>
      <c r="V3" s="3"/>
      <c r="W3" s="1"/>
      <c r="X3" s="1"/>
      <c r="Y3" s="1"/>
      <c r="Z3" s="1"/>
    </row>
    <row r="4" spans="1:26" ht="3" customHeight="1" x14ac:dyDescent="0.2">
      <c r="A4" s="1"/>
      <c r="B4" s="1"/>
      <c r="C4" s="53"/>
      <c r="D4" s="1"/>
      <c r="E4" s="61"/>
      <c r="F4" s="61"/>
      <c r="G4" s="61"/>
      <c r="H4" s="61"/>
      <c r="I4" s="61"/>
      <c r="J4" s="61"/>
      <c r="K4" s="61"/>
      <c r="L4" s="77"/>
      <c r="M4" s="78"/>
      <c r="N4" s="61"/>
      <c r="O4" s="61"/>
      <c r="P4" s="77"/>
      <c r="Q4" s="79"/>
      <c r="R4" s="78"/>
      <c r="S4" s="78"/>
      <c r="T4" s="78"/>
      <c r="U4" s="61"/>
      <c r="V4" s="1"/>
      <c r="W4" s="1"/>
      <c r="X4" s="1"/>
      <c r="Y4" s="1"/>
      <c r="Z4" s="1"/>
    </row>
    <row r="5" spans="1:26" s="6" customFormat="1" ht="13.35" customHeight="1" x14ac:dyDescent="0.2">
      <c r="A5" s="5"/>
      <c r="B5" s="5"/>
      <c r="C5" s="145" t="s">
        <v>398</v>
      </c>
      <c r="D5" s="146"/>
      <c r="E5" s="80">
        <f>DATE($H$1,VLOOKUP($L$1,tblMonth[],2,FALSE),(($P$1*15)-14))</f>
        <v>43466</v>
      </c>
      <c r="F5" s="80">
        <f>IF(E5="","",IF(MONTH(E5+1)&lt;&gt;MONTH(E5),"",E5+1))</f>
        <v>43467</v>
      </c>
      <c r="G5" s="80">
        <f t="shared" ref="G5:S5" si="0">IF(F5="","",IF(MONTH(F5+1)&lt;&gt;MONTH(F5),"",F5+1))</f>
        <v>43468</v>
      </c>
      <c r="H5" s="80">
        <f t="shared" si="0"/>
        <v>43469</v>
      </c>
      <c r="I5" s="80">
        <f t="shared" si="0"/>
        <v>43470</v>
      </c>
      <c r="J5" s="80">
        <f t="shared" si="0"/>
        <v>43471</v>
      </c>
      <c r="K5" s="80">
        <f t="shared" si="0"/>
        <v>43472</v>
      </c>
      <c r="L5" s="80">
        <f t="shared" si="0"/>
        <v>43473</v>
      </c>
      <c r="M5" s="80">
        <f t="shared" si="0"/>
        <v>43474</v>
      </c>
      <c r="N5" s="80">
        <f t="shared" si="0"/>
        <v>43475</v>
      </c>
      <c r="O5" s="80">
        <f t="shared" si="0"/>
        <v>43476</v>
      </c>
      <c r="P5" s="80">
        <f t="shared" si="0"/>
        <v>43477</v>
      </c>
      <c r="Q5" s="80">
        <f t="shared" si="0"/>
        <v>43478</v>
      </c>
      <c r="R5" s="80">
        <f t="shared" si="0"/>
        <v>43479</v>
      </c>
      <c r="S5" s="80">
        <f t="shared" si="0"/>
        <v>43480</v>
      </c>
      <c r="T5" s="80" t="str">
        <f>IF(S5="","",IF(MONTH(S5+1)&lt;&gt;MONTH(S5),"",IF($P$1=1,"",S5+1)))</f>
        <v/>
      </c>
      <c r="U5" s="81"/>
      <c r="V5" s="13"/>
      <c r="W5" s="13"/>
      <c r="X5" s="13"/>
      <c r="Y5" s="13"/>
      <c r="Z5" s="13"/>
    </row>
    <row r="6" spans="1:26" ht="13.35" customHeight="1" x14ac:dyDescent="0.2">
      <c r="A6" s="7"/>
      <c r="B6" s="7"/>
      <c r="C6" s="143" t="s">
        <v>397</v>
      </c>
      <c r="D6" s="144"/>
      <c r="E6" s="82" t="str">
        <f>IF(E5="","",CHOOSE(WEEKDAY(E5),"Sun","Mon","Tue","Wed","Thu","Fri","Sat"))</f>
        <v>Tue</v>
      </c>
      <c r="F6" s="82" t="str">
        <f t="shared" ref="F6:T6" si="1">IF(F5="","",CHOOSE(WEEKDAY(F5),"Sun","Mon","Tue","Wed","Thu","Fri","Sat"))</f>
        <v>Wed</v>
      </c>
      <c r="G6" s="82" t="str">
        <f t="shared" si="1"/>
        <v>Thu</v>
      </c>
      <c r="H6" s="82" t="str">
        <f t="shared" si="1"/>
        <v>Fri</v>
      </c>
      <c r="I6" s="82" t="str">
        <f t="shared" si="1"/>
        <v>Sat</v>
      </c>
      <c r="J6" s="82" t="str">
        <f t="shared" si="1"/>
        <v>Sun</v>
      </c>
      <c r="K6" s="82" t="str">
        <f t="shared" si="1"/>
        <v>Mon</v>
      </c>
      <c r="L6" s="82" t="str">
        <f t="shared" si="1"/>
        <v>Tue</v>
      </c>
      <c r="M6" s="82" t="str">
        <f t="shared" si="1"/>
        <v>Wed</v>
      </c>
      <c r="N6" s="82" t="str">
        <f t="shared" si="1"/>
        <v>Thu</v>
      </c>
      <c r="O6" s="82" t="str">
        <f t="shared" si="1"/>
        <v>Fri</v>
      </c>
      <c r="P6" s="82" t="str">
        <f t="shared" si="1"/>
        <v>Sat</v>
      </c>
      <c r="Q6" s="82" t="str">
        <f t="shared" si="1"/>
        <v>Sun</v>
      </c>
      <c r="R6" s="82" t="str">
        <f t="shared" si="1"/>
        <v>Mon</v>
      </c>
      <c r="S6" s="82" t="str">
        <f t="shared" si="1"/>
        <v>Tue</v>
      </c>
      <c r="T6" s="82" t="str">
        <f t="shared" si="1"/>
        <v/>
      </c>
      <c r="U6" s="61"/>
      <c r="V6" s="1"/>
      <c r="W6" s="1"/>
      <c r="X6" s="1"/>
      <c r="Y6" s="1"/>
      <c r="Z6" s="1"/>
    </row>
    <row r="7" spans="1:26" ht="13.35" customHeight="1" x14ac:dyDescent="0.2">
      <c r="A7" s="7"/>
      <c r="B7" s="7"/>
      <c r="C7" s="143" t="s">
        <v>67</v>
      </c>
      <c r="D7" s="144"/>
      <c r="E7" s="83"/>
      <c r="F7" s="83" t="s">
        <v>260</v>
      </c>
      <c r="G7" s="83" t="s">
        <v>260</v>
      </c>
      <c r="H7" s="83" t="s">
        <v>260</v>
      </c>
      <c r="I7" s="83"/>
      <c r="J7" s="83"/>
      <c r="K7" s="83" t="s">
        <v>260</v>
      </c>
      <c r="L7" s="83" t="s">
        <v>260</v>
      </c>
      <c r="M7" s="83" t="s">
        <v>260</v>
      </c>
      <c r="N7" s="83" t="s">
        <v>260</v>
      </c>
      <c r="O7" s="83" t="s">
        <v>260</v>
      </c>
      <c r="P7" s="83"/>
      <c r="Q7" s="83"/>
      <c r="R7" s="83" t="s">
        <v>260</v>
      </c>
      <c r="S7" s="83" t="s">
        <v>260</v>
      </c>
      <c r="T7" s="84"/>
      <c r="U7" s="61"/>
      <c r="V7" s="1"/>
      <c r="W7" s="1"/>
      <c r="X7" s="1"/>
      <c r="Y7" s="1"/>
      <c r="Z7" s="1"/>
    </row>
    <row r="8" spans="1:26" ht="13.35" customHeight="1" x14ac:dyDescent="0.2">
      <c r="A8" s="7"/>
      <c r="B8" s="7"/>
      <c r="C8" s="54" t="s">
        <v>2</v>
      </c>
      <c r="D8" s="95" t="s">
        <v>3</v>
      </c>
      <c r="E8" s="85"/>
      <c r="F8" s="85" t="s">
        <v>468</v>
      </c>
      <c r="G8" s="85" t="s">
        <v>471</v>
      </c>
      <c r="H8" s="85" t="s">
        <v>471</v>
      </c>
      <c r="I8" s="85"/>
      <c r="J8" s="85"/>
      <c r="K8" s="85" t="s">
        <v>471</v>
      </c>
      <c r="L8" s="85" t="s">
        <v>468</v>
      </c>
      <c r="M8" s="85" t="s">
        <v>470</v>
      </c>
      <c r="N8" s="85" t="s">
        <v>470</v>
      </c>
      <c r="O8" s="85" t="s">
        <v>470</v>
      </c>
      <c r="P8" s="85"/>
      <c r="Q8" s="85"/>
      <c r="R8" s="85" t="s">
        <v>469</v>
      </c>
      <c r="S8" s="85" t="s">
        <v>468</v>
      </c>
      <c r="T8" s="85"/>
      <c r="U8" s="61"/>
      <c r="V8" s="1"/>
      <c r="W8" s="1"/>
      <c r="X8" s="1"/>
      <c r="Y8" s="1"/>
      <c r="Z8" s="1"/>
    </row>
    <row r="9" spans="1:26" ht="13.35" customHeight="1" x14ac:dyDescent="0.2">
      <c r="A9" s="7"/>
      <c r="B9" s="7"/>
      <c r="C9" s="55" t="s">
        <v>396</v>
      </c>
      <c r="D9" s="95" t="s">
        <v>4</v>
      </c>
      <c r="E9" s="85"/>
      <c r="F9" s="85" t="s">
        <v>472</v>
      </c>
      <c r="G9" s="85" t="s">
        <v>473</v>
      </c>
      <c r="H9" s="85" t="s">
        <v>473</v>
      </c>
      <c r="I9" s="85"/>
      <c r="J9" s="85"/>
      <c r="K9" s="85" t="s">
        <v>473</v>
      </c>
      <c r="L9" s="85" t="s">
        <v>472</v>
      </c>
      <c r="M9" s="85" t="s">
        <v>474</v>
      </c>
      <c r="N9" s="85" t="s">
        <v>474</v>
      </c>
      <c r="O9" s="85" t="s">
        <v>474</v>
      </c>
      <c r="P9" s="85"/>
      <c r="Q9" s="85"/>
      <c r="R9" s="85" t="s">
        <v>475</v>
      </c>
      <c r="S9" s="85" t="s">
        <v>472</v>
      </c>
      <c r="T9" s="85"/>
      <c r="U9" s="61"/>
      <c r="V9" s="1"/>
      <c r="W9" s="1"/>
      <c r="X9" s="1"/>
      <c r="Y9" s="1"/>
      <c r="Z9" s="1"/>
    </row>
    <row r="10" spans="1:26" ht="13.35" customHeight="1" x14ac:dyDescent="0.2">
      <c r="A10" s="7"/>
      <c r="B10" s="7"/>
      <c r="C10" s="143" t="s">
        <v>76</v>
      </c>
      <c r="D10" s="144"/>
      <c r="E10" s="86"/>
      <c r="F10" s="86">
        <v>1</v>
      </c>
      <c r="G10" s="86">
        <v>1</v>
      </c>
      <c r="H10" s="86">
        <v>1</v>
      </c>
      <c r="I10" s="86"/>
      <c r="J10" s="86"/>
      <c r="K10" s="86">
        <v>1</v>
      </c>
      <c r="L10" s="86">
        <v>1</v>
      </c>
      <c r="M10" s="86">
        <v>1</v>
      </c>
      <c r="N10" s="86">
        <v>1</v>
      </c>
      <c r="O10" s="86">
        <v>1</v>
      </c>
      <c r="P10" s="86"/>
      <c r="Q10" s="86"/>
      <c r="R10" s="86">
        <v>1</v>
      </c>
      <c r="S10" s="86">
        <v>1</v>
      </c>
      <c r="T10" s="86"/>
      <c r="U10" s="61"/>
      <c r="V10" s="1"/>
      <c r="W10" s="1"/>
      <c r="X10" s="1"/>
      <c r="Y10" s="1"/>
      <c r="Z10" s="1"/>
    </row>
    <row r="11" spans="1:26" ht="3.75" customHeight="1" x14ac:dyDescent="0.2">
      <c r="A11" s="7"/>
      <c r="B11" s="7"/>
      <c r="C11" s="56"/>
      <c r="D11" s="7"/>
      <c r="E11" s="77"/>
      <c r="F11" s="77"/>
      <c r="G11" s="77"/>
      <c r="H11" s="77"/>
      <c r="I11" s="77"/>
      <c r="J11" s="77"/>
      <c r="K11" s="77"/>
      <c r="L11" s="77"/>
      <c r="M11" s="77"/>
      <c r="N11" s="77"/>
      <c r="O11" s="77"/>
      <c r="P11" s="77"/>
      <c r="Q11" s="77"/>
      <c r="R11" s="77"/>
      <c r="S11" s="77"/>
      <c r="T11" s="77"/>
      <c r="U11" s="61"/>
      <c r="V11" s="1"/>
      <c r="W11" s="1"/>
      <c r="X11" s="1"/>
      <c r="Y11" s="1"/>
      <c r="Z11" s="1"/>
    </row>
    <row r="12" spans="1:26" ht="16.7" customHeight="1" x14ac:dyDescent="0.2">
      <c r="A12" s="96" t="s">
        <v>465</v>
      </c>
      <c r="B12" s="97" t="s">
        <v>5</v>
      </c>
      <c r="C12" s="98" t="s">
        <v>394</v>
      </c>
      <c r="D12" s="109"/>
      <c r="E12" s="51"/>
      <c r="F12" s="51"/>
      <c r="G12" s="51"/>
      <c r="H12" s="51"/>
      <c r="I12" s="51"/>
      <c r="J12" s="51"/>
      <c r="K12" s="51"/>
      <c r="L12" s="51"/>
      <c r="M12" s="51"/>
      <c r="N12" s="51"/>
      <c r="O12" s="51"/>
      <c r="P12" s="51"/>
      <c r="Q12" s="51"/>
      <c r="R12" s="51"/>
      <c r="S12" s="51"/>
      <c r="T12" s="52"/>
      <c r="U12" s="87" t="s">
        <v>6</v>
      </c>
      <c r="V12" s="1"/>
      <c r="W12" s="1"/>
      <c r="X12" s="1"/>
      <c r="Y12" s="1"/>
      <c r="Z12" s="1"/>
    </row>
    <row r="13" spans="1:26" ht="16.7" customHeight="1" x14ac:dyDescent="0.2">
      <c r="A13" s="140" t="s">
        <v>395</v>
      </c>
      <c r="B13" s="141"/>
      <c r="C13" s="142"/>
      <c r="D13" s="110"/>
      <c r="E13" s="111"/>
      <c r="F13" s="111"/>
      <c r="G13" s="111"/>
      <c r="H13" s="111"/>
      <c r="I13" s="111"/>
      <c r="J13" s="111"/>
      <c r="K13" s="111"/>
      <c r="L13" s="111"/>
      <c r="M13" s="111"/>
      <c r="N13" s="111"/>
      <c r="O13" s="111"/>
      <c r="P13" s="111"/>
      <c r="Q13" s="111"/>
      <c r="R13" s="111"/>
      <c r="S13" s="111"/>
      <c r="T13" s="111"/>
      <c r="U13" s="88" t="s">
        <v>7</v>
      </c>
      <c r="V13" s="1"/>
      <c r="W13" s="1"/>
      <c r="X13" s="1"/>
      <c r="Y13" s="1"/>
      <c r="Z13" s="1"/>
    </row>
    <row r="14" spans="1:26" x14ac:dyDescent="0.2">
      <c r="A14" s="153" t="s">
        <v>476</v>
      </c>
      <c r="B14" s="100" t="s">
        <v>419</v>
      </c>
      <c r="C14" s="113" t="s">
        <v>332</v>
      </c>
      <c r="D14" s="101" t="s">
        <v>260</v>
      </c>
      <c r="E14" s="118"/>
      <c r="F14" s="118">
        <v>8</v>
      </c>
      <c r="G14" s="118">
        <v>8</v>
      </c>
      <c r="H14" s="118">
        <v>8</v>
      </c>
      <c r="I14" s="118"/>
      <c r="J14" s="118"/>
      <c r="K14" s="118">
        <v>8</v>
      </c>
      <c r="L14" s="118">
        <v>8</v>
      </c>
      <c r="M14" s="118">
        <v>8</v>
      </c>
      <c r="N14" s="118">
        <v>8</v>
      </c>
      <c r="O14" s="118">
        <v>8</v>
      </c>
      <c r="P14" s="118"/>
      <c r="Q14" s="118"/>
      <c r="R14" s="118">
        <v>8</v>
      </c>
      <c r="S14" s="118">
        <v>8</v>
      </c>
      <c r="T14" s="118"/>
      <c r="U14" s="121">
        <f t="shared" ref="U14:U52" si="2">SUM(E14:T14)</f>
        <v>80</v>
      </c>
      <c r="V14" s="1"/>
      <c r="W14" s="1"/>
      <c r="X14" s="1"/>
      <c r="Y14" s="1"/>
      <c r="Z14" s="1"/>
    </row>
    <row r="15" spans="1:26" x14ac:dyDescent="0.2">
      <c r="A15" s="133" t="s">
        <v>382</v>
      </c>
      <c r="B15" s="134"/>
      <c r="C15" s="135"/>
      <c r="D15" s="115" t="s">
        <v>8</v>
      </c>
      <c r="E15" s="119"/>
      <c r="F15" s="119"/>
      <c r="G15" s="119"/>
      <c r="H15" s="119"/>
      <c r="I15" s="119"/>
      <c r="J15" s="119"/>
      <c r="K15" s="119"/>
      <c r="L15" s="119"/>
      <c r="M15" s="119"/>
      <c r="N15" s="119"/>
      <c r="O15" s="119"/>
      <c r="P15" s="119"/>
      <c r="Q15" s="119"/>
      <c r="R15" s="119"/>
      <c r="S15" s="119"/>
      <c r="T15" s="119"/>
      <c r="U15" s="122">
        <f t="shared" si="2"/>
        <v>0</v>
      </c>
      <c r="V15" s="1"/>
      <c r="W15" s="1"/>
      <c r="X15" s="1"/>
      <c r="Y15" s="1"/>
      <c r="Z15" s="1"/>
    </row>
    <row r="16" spans="1:26" x14ac:dyDescent="0.2">
      <c r="A16" s="136"/>
      <c r="B16" s="137"/>
      <c r="C16" s="138"/>
      <c r="D16" s="116" t="s">
        <v>9</v>
      </c>
      <c r="E16" s="120"/>
      <c r="F16" s="120"/>
      <c r="G16" s="120"/>
      <c r="H16" s="120"/>
      <c r="I16" s="120"/>
      <c r="J16" s="120"/>
      <c r="K16" s="120"/>
      <c r="L16" s="120"/>
      <c r="M16" s="120"/>
      <c r="N16" s="120"/>
      <c r="O16" s="120"/>
      <c r="P16" s="120"/>
      <c r="Q16" s="120"/>
      <c r="R16" s="120"/>
      <c r="S16" s="120"/>
      <c r="T16" s="120"/>
      <c r="U16" s="124">
        <f t="shared" si="2"/>
        <v>0</v>
      </c>
      <c r="V16" s="1"/>
      <c r="W16" s="1"/>
      <c r="X16" s="1"/>
      <c r="Y16" s="1"/>
      <c r="Z16" s="1"/>
    </row>
    <row r="17" spans="1:26" x14ac:dyDescent="0.2">
      <c r="A17" s="99"/>
      <c r="B17" s="100"/>
      <c r="C17" s="113"/>
      <c r="D17" s="101" t="s">
        <v>260</v>
      </c>
      <c r="E17" s="118"/>
      <c r="F17" s="118"/>
      <c r="G17" s="118"/>
      <c r="H17" s="118"/>
      <c r="I17" s="118"/>
      <c r="J17" s="118"/>
      <c r="K17" s="118"/>
      <c r="L17" s="118"/>
      <c r="M17" s="118"/>
      <c r="N17" s="118"/>
      <c r="O17" s="118"/>
      <c r="P17" s="118"/>
      <c r="Q17" s="118"/>
      <c r="R17" s="118"/>
      <c r="S17" s="118"/>
      <c r="T17" s="118"/>
      <c r="U17" s="121">
        <f t="shared" si="2"/>
        <v>0</v>
      </c>
      <c r="V17" s="1"/>
      <c r="W17" s="1"/>
      <c r="X17" s="1"/>
      <c r="Y17" s="1"/>
      <c r="Z17" s="1"/>
    </row>
    <row r="18" spans="1:26" ht="14.25" customHeight="1" x14ac:dyDescent="0.2">
      <c r="A18" s="133"/>
      <c r="B18" s="134"/>
      <c r="C18" s="135"/>
      <c r="D18" s="115" t="s">
        <v>8</v>
      </c>
      <c r="E18" s="119"/>
      <c r="F18" s="119"/>
      <c r="G18" s="119"/>
      <c r="H18" s="119"/>
      <c r="I18" s="119"/>
      <c r="J18" s="119"/>
      <c r="K18" s="119"/>
      <c r="L18" s="119"/>
      <c r="M18" s="119"/>
      <c r="N18" s="119"/>
      <c r="O18" s="119"/>
      <c r="P18" s="119"/>
      <c r="Q18" s="119"/>
      <c r="R18" s="119"/>
      <c r="S18" s="119"/>
      <c r="T18" s="119"/>
      <c r="U18" s="122">
        <f t="shared" si="2"/>
        <v>0</v>
      </c>
      <c r="V18" s="1"/>
      <c r="W18" s="1"/>
      <c r="X18" s="1"/>
      <c r="Y18" s="1"/>
      <c r="Z18" s="1"/>
    </row>
    <row r="19" spans="1:26" x14ac:dyDescent="0.2">
      <c r="A19" s="136"/>
      <c r="B19" s="137"/>
      <c r="C19" s="138"/>
      <c r="D19" s="116" t="s">
        <v>9</v>
      </c>
      <c r="E19" s="120"/>
      <c r="F19" s="120"/>
      <c r="G19" s="120"/>
      <c r="H19" s="120"/>
      <c r="I19" s="120"/>
      <c r="J19" s="120"/>
      <c r="K19" s="120"/>
      <c r="L19" s="120"/>
      <c r="M19" s="120"/>
      <c r="N19" s="120"/>
      <c r="O19" s="120"/>
      <c r="P19" s="120"/>
      <c r="Q19" s="120"/>
      <c r="R19" s="120"/>
      <c r="S19" s="120"/>
      <c r="T19" s="120"/>
      <c r="U19" s="124">
        <f t="shared" si="2"/>
        <v>0</v>
      </c>
      <c r="V19" s="1"/>
      <c r="W19" s="1"/>
      <c r="X19" s="1"/>
      <c r="Y19" s="1"/>
      <c r="Z19" s="1"/>
    </row>
    <row r="20" spans="1:26" x14ac:dyDescent="0.2">
      <c r="A20" s="99"/>
      <c r="B20" s="100"/>
      <c r="C20" s="113"/>
      <c r="D20" s="101" t="s">
        <v>260</v>
      </c>
      <c r="E20" s="118"/>
      <c r="F20" s="118"/>
      <c r="G20" s="118"/>
      <c r="H20" s="118"/>
      <c r="I20" s="118"/>
      <c r="J20" s="118"/>
      <c r="K20" s="118"/>
      <c r="L20" s="118"/>
      <c r="M20" s="118"/>
      <c r="N20" s="118"/>
      <c r="O20" s="118"/>
      <c r="P20" s="118"/>
      <c r="Q20" s="118"/>
      <c r="R20" s="118"/>
      <c r="S20" s="118"/>
      <c r="T20" s="118"/>
      <c r="U20" s="121">
        <f t="shared" si="2"/>
        <v>0</v>
      </c>
      <c r="V20" s="1"/>
      <c r="W20" s="1"/>
      <c r="X20" s="1"/>
      <c r="Y20" s="1"/>
      <c r="Z20" s="1"/>
    </row>
    <row r="21" spans="1:26" x14ac:dyDescent="0.2">
      <c r="A21" s="133"/>
      <c r="B21" s="134"/>
      <c r="C21" s="135"/>
      <c r="D21" s="115" t="s">
        <v>8</v>
      </c>
      <c r="E21" s="119"/>
      <c r="F21" s="119"/>
      <c r="G21" s="119"/>
      <c r="H21" s="119"/>
      <c r="I21" s="119"/>
      <c r="J21" s="119"/>
      <c r="K21" s="119"/>
      <c r="L21" s="119"/>
      <c r="M21" s="119"/>
      <c r="N21" s="119"/>
      <c r="O21" s="119"/>
      <c r="P21" s="119"/>
      <c r="Q21" s="119"/>
      <c r="R21" s="119"/>
      <c r="S21" s="119"/>
      <c r="T21" s="119"/>
      <c r="U21" s="122">
        <f>SUM(E21:T21)</f>
        <v>0</v>
      </c>
      <c r="V21" s="1"/>
      <c r="W21" s="1"/>
      <c r="X21" s="1"/>
      <c r="Y21" s="1"/>
      <c r="Z21" s="1"/>
    </row>
    <row r="22" spans="1:26" x14ac:dyDescent="0.2">
      <c r="A22" s="136"/>
      <c r="B22" s="137"/>
      <c r="C22" s="138"/>
      <c r="D22" s="116" t="s">
        <v>9</v>
      </c>
      <c r="E22" s="120"/>
      <c r="F22" s="120"/>
      <c r="G22" s="120"/>
      <c r="H22" s="120"/>
      <c r="I22" s="120"/>
      <c r="J22" s="120"/>
      <c r="K22" s="120"/>
      <c r="L22" s="120"/>
      <c r="M22" s="120"/>
      <c r="N22" s="120"/>
      <c r="O22" s="120"/>
      <c r="P22" s="120"/>
      <c r="Q22" s="120"/>
      <c r="R22" s="120"/>
      <c r="S22" s="120"/>
      <c r="T22" s="120"/>
      <c r="U22" s="124">
        <f t="shared" si="2"/>
        <v>0</v>
      </c>
      <c r="V22" s="1"/>
      <c r="W22" s="1"/>
      <c r="X22" s="1"/>
      <c r="Y22" s="1"/>
      <c r="Z22" s="1"/>
    </row>
    <row r="23" spans="1:26" x14ac:dyDescent="0.2">
      <c r="A23" s="99"/>
      <c r="B23" s="100"/>
      <c r="C23" s="113"/>
      <c r="D23" s="101" t="s">
        <v>260</v>
      </c>
      <c r="E23" s="118"/>
      <c r="F23" s="118"/>
      <c r="G23" s="118"/>
      <c r="H23" s="118"/>
      <c r="I23" s="118"/>
      <c r="J23" s="118"/>
      <c r="K23" s="118"/>
      <c r="L23" s="118"/>
      <c r="M23" s="118"/>
      <c r="N23" s="118"/>
      <c r="O23" s="118"/>
      <c r="P23" s="118"/>
      <c r="Q23" s="118"/>
      <c r="R23" s="118"/>
      <c r="S23" s="118"/>
      <c r="T23" s="118"/>
      <c r="U23" s="121">
        <f t="shared" si="2"/>
        <v>0</v>
      </c>
      <c r="V23" s="1"/>
      <c r="W23" s="1"/>
      <c r="X23" s="1"/>
      <c r="Y23" s="1"/>
      <c r="Z23" s="1"/>
    </row>
    <row r="24" spans="1:26" x14ac:dyDescent="0.2">
      <c r="A24" s="133"/>
      <c r="B24" s="134"/>
      <c r="C24" s="135"/>
      <c r="D24" s="115" t="s">
        <v>8</v>
      </c>
      <c r="E24" s="119"/>
      <c r="F24" s="119"/>
      <c r="G24" s="119"/>
      <c r="H24" s="119"/>
      <c r="I24" s="119"/>
      <c r="J24" s="119"/>
      <c r="K24" s="119"/>
      <c r="L24" s="119"/>
      <c r="M24" s="119"/>
      <c r="N24" s="119"/>
      <c r="O24" s="119"/>
      <c r="P24" s="119"/>
      <c r="Q24" s="119"/>
      <c r="R24" s="119"/>
      <c r="S24" s="119"/>
      <c r="T24" s="119"/>
      <c r="U24" s="122">
        <f t="shared" si="2"/>
        <v>0</v>
      </c>
      <c r="V24" s="1"/>
      <c r="W24" s="1"/>
      <c r="X24" s="1"/>
      <c r="Y24" s="1"/>
      <c r="Z24" s="1"/>
    </row>
    <row r="25" spans="1:26" x14ac:dyDescent="0.2">
      <c r="A25" s="136"/>
      <c r="B25" s="137"/>
      <c r="C25" s="138"/>
      <c r="D25" s="116" t="s">
        <v>9</v>
      </c>
      <c r="E25" s="120"/>
      <c r="F25" s="120"/>
      <c r="G25" s="120"/>
      <c r="H25" s="120"/>
      <c r="I25" s="120"/>
      <c r="J25" s="120"/>
      <c r="K25" s="120"/>
      <c r="L25" s="120"/>
      <c r="M25" s="120"/>
      <c r="N25" s="120"/>
      <c r="O25" s="120"/>
      <c r="P25" s="120"/>
      <c r="Q25" s="120"/>
      <c r="R25" s="120"/>
      <c r="S25" s="120"/>
      <c r="T25" s="120"/>
      <c r="U25" s="124">
        <f t="shared" si="2"/>
        <v>0</v>
      </c>
      <c r="V25" s="1"/>
      <c r="W25" s="1"/>
      <c r="X25" s="1"/>
      <c r="Y25" s="1"/>
      <c r="Z25" s="1"/>
    </row>
    <row r="26" spans="1:26" x14ac:dyDescent="0.2">
      <c r="A26" s="99"/>
      <c r="B26" s="100"/>
      <c r="C26" s="113"/>
      <c r="D26" s="101" t="s">
        <v>260</v>
      </c>
      <c r="E26" s="118"/>
      <c r="F26" s="118"/>
      <c r="G26" s="118"/>
      <c r="H26" s="118"/>
      <c r="I26" s="118"/>
      <c r="J26" s="118"/>
      <c r="K26" s="118"/>
      <c r="L26" s="118"/>
      <c r="M26" s="118"/>
      <c r="N26" s="118"/>
      <c r="O26" s="118"/>
      <c r="P26" s="118"/>
      <c r="Q26" s="118"/>
      <c r="R26" s="118"/>
      <c r="S26" s="118"/>
      <c r="T26" s="118"/>
      <c r="U26" s="121">
        <f t="shared" si="2"/>
        <v>0</v>
      </c>
      <c r="V26" s="1"/>
      <c r="W26" s="1"/>
      <c r="X26" s="1"/>
      <c r="Y26" s="1"/>
      <c r="Z26" s="1"/>
    </row>
    <row r="27" spans="1:26" x14ac:dyDescent="0.2">
      <c r="A27" s="133"/>
      <c r="B27" s="134"/>
      <c r="C27" s="135"/>
      <c r="D27" s="115" t="s">
        <v>8</v>
      </c>
      <c r="E27" s="119"/>
      <c r="F27" s="119"/>
      <c r="G27" s="119"/>
      <c r="H27" s="119"/>
      <c r="I27" s="119"/>
      <c r="J27" s="119"/>
      <c r="K27" s="119"/>
      <c r="L27" s="119"/>
      <c r="M27" s="119"/>
      <c r="N27" s="119"/>
      <c r="O27" s="119"/>
      <c r="P27" s="119"/>
      <c r="Q27" s="119"/>
      <c r="R27" s="119"/>
      <c r="S27" s="119"/>
      <c r="T27" s="119"/>
      <c r="U27" s="122">
        <f t="shared" si="2"/>
        <v>0</v>
      </c>
      <c r="V27" s="1"/>
      <c r="W27" s="1"/>
      <c r="X27" s="1"/>
      <c r="Y27" s="1"/>
      <c r="Z27" s="1"/>
    </row>
    <row r="28" spans="1:26" x14ac:dyDescent="0.2">
      <c r="A28" s="136"/>
      <c r="B28" s="137"/>
      <c r="C28" s="138"/>
      <c r="D28" s="116" t="s">
        <v>9</v>
      </c>
      <c r="E28" s="120"/>
      <c r="F28" s="120"/>
      <c r="G28" s="120"/>
      <c r="H28" s="120"/>
      <c r="I28" s="120"/>
      <c r="J28" s="120"/>
      <c r="K28" s="120"/>
      <c r="L28" s="120"/>
      <c r="M28" s="120"/>
      <c r="N28" s="120"/>
      <c r="O28" s="120"/>
      <c r="P28" s="120"/>
      <c r="Q28" s="120"/>
      <c r="R28" s="120"/>
      <c r="S28" s="120"/>
      <c r="T28" s="120"/>
      <c r="U28" s="124">
        <f t="shared" si="2"/>
        <v>0</v>
      </c>
      <c r="V28" s="1"/>
      <c r="W28" s="1"/>
      <c r="X28" s="1"/>
      <c r="Y28" s="1"/>
      <c r="Z28" s="1"/>
    </row>
    <row r="29" spans="1:26" x14ac:dyDescent="0.2">
      <c r="A29" s="99"/>
      <c r="B29" s="100"/>
      <c r="C29" s="113"/>
      <c r="D29" s="101" t="s">
        <v>260</v>
      </c>
      <c r="E29" s="118"/>
      <c r="F29" s="118"/>
      <c r="G29" s="118"/>
      <c r="H29" s="118"/>
      <c r="I29" s="118"/>
      <c r="J29" s="118"/>
      <c r="K29" s="118"/>
      <c r="L29" s="118"/>
      <c r="M29" s="118"/>
      <c r="N29" s="118"/>
      <c r="O29" s="118"/>
      <c r="P29" s="118"/>
      <c r="Q29" s="118"/>
      <c r="R29" s="118"/>
      <c r="S29" s="118"/>
      <c r="T29" s="118"/>
      <c r="U29" s="121">
        <f t="shared" si="2"/>
        <v>0</v>
      </c>
      <c r="V29" s="1"/>
      <c r="W29" s="1"/>
      <c r="X29" s="1"/>
      <c r="Y29" s="1"/>
      <c r="Z29" s="1"/>
    </row>
    <row r="30" spans="1:26" x14ac:dyDescent="0.2">
      <c r="A30" s="133"/>
      <c r="B30" s="134"/>
      <c r="C30" s="135"/>
      <c r="D30" s="115" t="s">
        <v>8</v>
      </c>
      <c r="E30" s="119"/>
      <c r="F30" s="119"/>
      <c r="G30" s="119"/>
      <c r="H30" s="119"/>
      <c r="I30" s="119"/>
      <c r="J30" s="119"/>
      <c r="K30" s="119"/>
      <c r="L30" s="119"/>
      <c r="M30" s="119"/>
      <c r="N30" s="119"/>
      <c r="O30" s="119"/>
      <c r="P30" s="119"/>
      <c r="Q30" s="119"/>
      <c r="R30" s="119"/>
      <c r="S30" s="119"/>
      <c r="T30" s="119"/>
      <c r="U30" s="122">
        <f t="shared" si="2"/>
        <v>0</v>
      </c>
      <c r="V30" s="1"/>
      <c r="W30" s="1"/>
      <c r="X30" s="1"/>
      <c r="Y30" s="1"/>
      <c r="Z30" s="1"/>
    </row>
    <row r="31" spans="1:26" x14ac:dyDescent="0.2">
      <c r="A31" s="136"/>
      <c r="B31" s="137"/>
      <c r="C31" s="138"/>
      <c r="D31" s="116" t="s">
        <v>9</v>
      </c>
      <c r="E31" s="120"/>
      <c r="F31" s="120"/>
      <c r="G31" s="120"/>
      <c r="H31" s="120"/>
      <c r="I31" s="120"/>
      <c r="J31" s="120"/>
      <c r="K31" s="120"/>
      <c r="L31" s="120"/>
      <c r="M31" s="120"/>
      <c r="N31" s="120"/>
      <c r="O31" s="120"/>
      <c r="P31" s="120"/>
      <c r="Q31" s="120"/>
      <c r="R31" s="120"/>
      <c r="S31" s="120"/>
      <c r="T31" s="120"/>
      <c r="U31" s="124">
        <f t="shared" si="2"/>
        <v>0</v>
      </c>
      <c r="V31" s="1"/>
      <c r="W31" s="1"/>
      <c r="X31" s="1"/>
      <c r="Y31" s="1"/>
      <c r="Z31" s="1"/>
    </row>
    <row r="32" spans="1:26" x14ac:dyDescent="0.2">
      <c r="A32" s="99"/>
      <c r="B32" s="100"/>
      <c r="C32" s="113"/>
      <c r="D32" s="101" t="s">
        <v>260</v>
      </c>
      <c r="E32" s="118"/>
      <c r="F32" s="118"/>
      <c r="G32" s="118"/>
      <c r="H32" s="118"/>
      <c r="I32" s="118"/>
      <c r="J32" s="118"/>
      <c r="K32" s="118"/>
      <c r="L32" s="118"/>
      <c r="M32" s="118"/>
      <c r="N32" s="118"/>
      <c r="O32" s="118"/>
      <c r="P32" s="118"/>
      <c r="Q32" s="118"/>
      <c r="R32" s="118"/>
      <c r="S32" s="118"/>
      <c r="T32" s="118"/>
      <c r="U32" s="121">
        <f t="shared" si="2"/>
        <v>0</v>
      </c>
      <c r="V32" s="1"/>
      <c r="W32" s="1"/>
      <c r="X32" s="1"/>
      <c r="Y32" s="1"/>
      <c r="Z32" s="1"/>
    </row>
    <row r="33" spans="1:26" x14ac:dyDescent="0.2">
      <c r="A33" s="133"/>
      <c r="B33" s="134"/>
      <c r="C33" s="135"/>
      <c r="D33" s="115" t="s">
        <v>8</v>
      </c>
      <c r="E33" s="119"/>
      <c r="F33" s="119"/>
      <c r="G33" s="119"/>
      <c r="H33" s="119"/>
      <c r="I33" s="119"/>
      <c r="J33" s="119"/>
      <c r="K33" s="119"/>
      <c r="L33" s="119"/>
      <c r="M33" s="119"/>
      <c r="N33" s="119"/>
      <c r="O33" s="119"/>
      <c r="P33" s="119"/>
      <c r="Q33" s="119"/>
      <c r="R33" s="119"/>
      <c r="S33" s="119"/>
      <c r="T33" s="119"/>
      <c r="U33" s="122">
        <f t="shared" si="2"/>
        <v>0</v>
      </c>
      <c r="V33" s="1"/>
      <c r="W33" s="1"/>
      <c r="X33" s="1"/>
      <c r="Y33" s="1"/>
      <c r="Z33" s="1"/>
    </row>
    <row r="34" spans="1:26" x14ac:dyDescent="0.2">
      <c r="A34" s="136"/>
      <c r="B34" s="137"/>
      <c r="C34" s="138"/>
      <c r="D34" s="116" t="s">
        <v>9</v>
      </c>
      <c r="E34" s="120"/>
      <c r="F34" s="120"/>
      <c r="G34" s="120"/>
      <c r="H34" s="120"/>
      <c r="I34" s="120"/>
      <c r="J34" s="120"/>
      <c r="K34" s="120"/>
      <c r="L34" s="120"/>
      <c r="M34" s="120"/>
      <c r="N34" s="120"/>
      <c r="O34" s="120"/>
      <c r="P34" s="120"/>
      <c r="Q34" s="120"/>
      <c r="R34" s="120"/>
      <c r="S34" s="120"/>
      <c r="T34" s="120"/>
      <c r="U34" s="124">
        <f t="shared" si="2"/>
        <v>0</v>
      </c>
      <c r="V34" s="1"/>
      <c r="W34" s="1"/>
      <c r="X34" s="1"/>
      <c r="Y34" s="1"/>
      <c r="Z34" s="1"/>
    </row>
    <row r="35" spans="1:26" x14ac:dyDescent="0.2">
      <c r="A35" s="99"/>
      <c r="B35" s="100"/>
      <c r="C35" s="113"/>
      <c r="D35" s="101" t="s">
        <v>260</v>
      </c>
      <c r="E35" s="118"/>
      <c r="F35" s="118"/>
      <c r="G35" s="118"/>
      <c r="H35" s="118"/>
      <c r="I35" s="118"/>
      <c r="J35" s="118"/>
      <c r="K35" s="118"/>
      <c r="L35" s="118"/>
      <c r="M35" s="118"/>
      <c r="N35" s="118"/>
      <c r="O35" s="118"/>
      <c r="P35" s="118"/>
      <c r="Q35" s="118"/>
      <c r="R35" s="118"/>
      <c r="S35" s="118"/>
      <c r="T35" s="118"/>
      <c r="U35" s="121">
        <f t="shared" si="2"/>
        <v>0</v>
      </c>
      <c r="V35" s="1"/>
      <c r="W35" s="1"/>
      <c r="X35" s="1"/>
      <c r="Y35" s="1"/>
      <c r="Z35" s="1"/>
    </row>
    <row r="36" spans="1:26" x14ac:dyDescent="0.2">
      <c r="A36" s="133"/>
      <c r="B36" s="134"/>
      <c r="C36" s="135"/>
      <c r="D36" s="115" t="s">
        <v>8</v>
      </c>
      <c r="E36" s="119"/>
      <c r="F36" s="119"/>
      <c r="G36" s="119"/>
      <c r="H36" s="119"/>
      <c r="I36" s="119"/>
      <c r="J36" s="119"/>
      <c r="K36" s="119"/>
      <c r="L36" s="119"/>
      <c r="M36" s="119"/>
      <c r="N36" s="119"/>
      <c r="O36" s="119"/>
      <c r="P36" s="119"/>
      <c r="Q36" s="119"/>
      <c r="R36" s="119"/>
      <c r="S36" s="119"/>
      <c r="T36" s="119"/>
      <c r="U36" s="122">
        <f t="shared" si="2"/>
        <v>0</v>
      </c>
      <c r="V36" s="1"/>
      <c r="W36" s="1"/>
      <c r="X36" s="1"/>
      <c r="Y36" s="1"/>
      <c r="Z36" s="1"/>
    </row>
    <row r="37" spans="1:26" x14ac:dyDescent="0.2">
      <c r="A37" s="136"/>
      <c r="B37" s="137"/>
      <c r="C37" s="138"/>
      <c r="D37" s="116" t="s">
        <v>9</v>
      </c>
      <c r="E37" s="120"/>
      <c r="F37" s="120"/>
      <c r="G37" s="120"/>
      <c r="H37" s="120"/>
      <c r="I37" s="120"/>
      <c r="J37" s="120"/>
      <c r="K37" s="120"/>
      <c r="L37" s="120"/>
      <c r="M37" s="120"/>
      <c r="N37" s="120"/>
      <c r="O37" s="120"/>
      <c r="P37" s="120"/>
      <c r="Q37" s="120"/>
      <c r="R37" s="120"/>
      <c r="S37" s="120"/>
      <c r="T37" s="120"/>
      <c r="U37" s="124">
        <f t="shared" si="2"/>
        <v>0</v>
      </c>
      <c r="V37" s="1"/>
      <c r="W37" s="1"/>
      <c r="X37" s="1"/>
      <c r="Y37" s="1"/>
      <c r="Z37" s="1"/>
    </row>
    <row r="38" spans="1:26" x14ac:dyDescent="0.2">
      <c r="A38" s="99"/>
      <c r="B38" s="100"/>
      <c r="C38" s="113"/>
      <c r="D38" s="101" t="s">
        <v>260</v>
      </c>
      <c r="E38" s="118"/>
      <c r="F38" s="118"/>
      <c r="G38" s="118"/>
      <c r="H38" s="118"/>
      <c r="I38" s="118"/>
      <c r="J38" s="118"/>
      <c r="K38" s="118"/>
      <c r="L38" s="118"/>
      <c r="M38" s="118"/>
      <c r="N38" s="118"/>
      <c r="O38" s="118"/>
      <c r="P38" s="118"/>
      <c r="Q38" s="118"/>
      <c r="R38" s="118"/>
      <c r="S38" s="118"/>
      <c r="T38" s="118"/>
      <c r="U38" s="121">
        <f t="shared" si="2"/>
        <v>0</v>
      </c>
      <c r="V38" s="1"/>
      <c r="W38" s="1"/>
      <c r="X38" s="1"/>
      <c r="Y38" s="1"/>
      <c r="Z38" s="1"/>
    </row>
    <row r="39" spans="1:26" x14ac:dyDescent="0.2">
      <c r="A39" s="133"/>
      <c r="B39" s="134"/>
      <c r="C39" s="135"/>
      <c r="D39" s="115" t="s">
        <v>8</v>
      </c>
      <c r="E39" s="119"/>
      <c r="F39" s="119"/>
      <c r="G39" s="119"/>
      <c r="H39" s="119"/>
      <c r="I39" s="119"/>
      <c r="J39" s="119"/>
      <c r="K39" s="119"/>
      <c r="L39" s="119"/>
      <c r="M39" s="119"/>
      <c r="N39" s="119"/>
      <c r="O39" s="119"/>
      <c r="P39" s="119"/>
      <c r="Q39" s="119"/>
      <c r="R39" s="119"/>
      <c r="S39" s="119"/>
      <c r="T39" s="119"/>
      <c r="U39" s="122">
        <f t="shared" si="2"/>
        <v>0</v>
      </c>
      <c r="V39" s="1"/>
      <c r="W39" s="1"/>
      <c r="X39" s="1"/>
      <c r="Y39" s="1"/>
      <c r="Z39" s="1"/>
    </row>
    <row r="40" spans="1:26" x14ac:dyDescent="0.2">
      <c r="A40" s="136"/>
      <c r="B40" s="137"/>
      <c r="C40" s="138"/>
      <c r="D40" s="116" t="s">
        <v>9</v>
      </c>
      <c r="E40" s="120"/>
      <c r="F40" s="120"/>
      <c r="G40" s="120"/>
      <c r="H40" s="120"/>
      <c r="I40" s="120"/>
      <c r="J40" s="120"/>
      <c r="K40" s="120"/>
      <c r="L40" s="120"/>
      <c r="M40" s="120"/>
      <c r="N40" s="120"/>
      <c r="O40" s="120"/>
      <c r="P40" s="120"/>
      <c r="Q40" s="120"/>
      <c r="R40" s="120"/>
      <c r="S40" s="120"/>
      <c r="T40" s="120"/>
      <c r="U40" s="124">
        <f t="shared" si="2"/>
        <v>0</v>
      </c>
      <c r="V40" s="1"/>
      <c r="W40" s="1"/>
      <c r="X40" s="1"/>
      <c r="Y40" s="1"/>
      <c r="Z40" s="1"/>
    </row>
    <row r="41" spans="1:26" x14ac:dyDescent="0.2">
      <c r="A41" s="99"/>
      <c r="B41" s="100"/>
      <c r="C41" s="113"/>
      <c r="D41" s="101" t="s">
        <v>260</v>
      </c>
      <c r="E41" s="118"/>
      <c r="F41" s="118"/>
      <c r="G41" s="118"/>
      <c r="H41" s="118"/>
      <c r="I41" s="118"/>
      <c r="J41" s="118"/>
      <c r="K41" s="118"/>
      <c r="L41" s="118"/>
      <c r="M41" s="118"/>
      <c r="N41" s="118"/>
      <c r="O41" s="118"/>
      <c r="P41" s="118"/>
      <c r="Q41" s="118"/>
      <c r="R41" s="118"/>
      <c r="S41" s="118"/>
      <c r="T41" s="118"/>
      <c r="U41" s="121">
        <f t="shared" si="2"/>
        <v>0</v>
      </c>
      <c r="V41" s="1"/>
      <c r="W41" s="1"/>
      <c r="X41" s="1"/>
      <c r="Y41" s="1"/>
      <c r="Z41" s="1"/>
    </row>
    <row r="42" spans="1:26" x14ac:dyDescent="0.2">
      <c r="A42" s="133"/>
      <c r="B42" s="134"/>
      <c r="C42" s="135"/>
      <c r="D42" s="115" t="s">
        <v>8</v>
      </c>
      <c r="E42" s="119"/>
      <c r="F42" s="119"/>
      <c r="G42" s="119"/>
      <c r="H42" s="119"/>
      <c r="I42" s="119"/>
      <c r="J42" s="119"/>
      <c r="K42" s="119"/>
      <c r="L42" s="119"/>
      <c r="M42" s="119"/>
      <c r="N42" s="119"/>
      <c r="O42" s="119"/>
      <c r="P42" s="119"/>
      <c r="Q42" s="119"/>
      <c r="R42" s="119"/>
      <c r="S42" s="119"/>
      <c r="T42" s="119"/>
      <c r="U42" s="122">
        <f t="shared" si="2"/>
        <v>0</v>
      </c>
      <c r="V42" s="1"/>
      <c r="W42" s="1"/>
      <c r="X42" s="1"/>
      <c r="Y42" s="1"/>
      <c r="Z42" s="1"/>
    </row>
    <row r="43" spans="1:26" x14ac:dyDescent="0.2">
      <c r="A43" s="136"/>
      <c r="B43" s="137"/>
      <c r="C43" s="138"/>
      <c r="D43" s="116" t="s">
        <v>9</v>
      </c>
      <c r="E43" s="120"/>
      <c r="F43" s="120"/>
      <c r="G43" s="120"/>
      <c r="H43" s="120"/>
      <c r="I43" s="120"/>
      <c r="J43" s="120"/>
      <c r="K43" s="120"/>
      <c r="L43" s="120"/>
      <c r="M43" s="120"/>
      <c r="N43" s="120"/>
      <c r="O43" s="120"/>
      <c r="P43" s="120"/>
      <c r="Q43" s="120"/>
      <c r="R43" s="120"/>
      <c r="S43" s="120"/>
      <c r="T43" s="120"/>
      <c r="U43" s="124">
        <f t="shared" si="2"/>
        <v>0</v>
      </c>
      <c r="V43" s="1"/>
      <c r="W43" s="1"/>
      <c r="X43" s="1"/>
      <c r="Y43" s="1"/>
      <c r="Z43" s="1"/>
    </row>
    <row r="44" spans="1:26" x14ac:dyDescent="0.2">
      <c r="A44" s="99"/>
      <c r="B44" s="100"/>
      <c r="C44" s="113"/>
      <c r="D44" s="101" t="s">
        <v>260</v>
      </c>
      <c r="E44" s="118"/>
      <c r="F44" s="118"/>
      <c r="G44" s="118"/>
      <c r="H44" s="118"/>
      <c r="I44" s="118"/>
      <c r="J44" s="118"/>
      <c r="K44" s="118"/>
      <c r="L44" s="118"/>
      <c r="M44" s="118"/>
      <c r="N44" s="118"/>
      <c r="O44" s="118"/>
      <c r="P44" s="118"/>
      <c r="Q44" s="118"/>
      <c r="R44" s="118"/>
      <c r="S44" s="118"/>
      <c r="T44" s="118"/>
      <c r="U44" s="121">
        <f t="shared" si="2"/>
        <v>0</v>
      </c>
      <c r="V44" s="1"/>
      <c r="W44" s="1"/>
      <c r="X44" s="1"/>
      <c r="Y44" s="1"/>
      <c r="Z44" s="1"/>
    </row>
    <row r="45" spans="1:26" x14ac:dyDescent="0.2">
      <c r="A45" s="133"/>
      <c r="B45" s="134"/>
      <c r="C45" s="135"/>
      <c r="D45" s="115" t="s">
        <v>8</v>
      </c>
      <c r="E45" s="119"/>
      <c r="F45" s="119"/>
      <c r="G45" s="119"/>
      <c r="H45" s="119"/>
      <c r="I45" s="119"/>
      <c r="J45" s="119"/>
      <c r="K45" s="119"/>
      <c r="L45" s="119"/>
      <c r="M45" s="119"/>
      <c r="N45" s="119"/>
      <c r="O45" s="119"/>
      <c r="P45" s="119"/>
      <c r="Q45" s="119"/>
      <c r="R45" s="119"/>
      <c r="S45" s="119"/>
      <c r="T45" s="119"/>
      <c r="U45" s="122">
        <f t="shared" si="2"/>
        <v>0</v>
      </c>
      <c r="V45" s="1"/>
      <c r="W45" s="1"/>
      <c r="X45" s="1"/>
      <c r="Y45" s="1"/>
      <c r="Z45" s="1"/>
    </row>
    <row r="46" spans="1:26" x14ac:dyDescent="0.2">
      <c r="A46" s="136"/>
      <c r="B46" s="137"/>
      <c r="C46" s="138"/>
      <c r="D46" s="116" t="s">
        <v>9</v>
      </c>
      <c r="E46" s="120"/>
      <c r="F46" s="120"/>
      <c r="G46" s="120"/>
      <c r="H46" s="120"/>
      <c r="I46" s="120"/>
      <c r="J46" s="120"/>
      <c r="K46" s="120"/>
      <c r="L46" s="120"/>
      <c r="M46" s="120"/>
      <c r="N46" s="120"/>
      <c r="O46" s="120"/>
      <c r="P46" s="120"/>
      <c r="Q46" s="120"/>
      <c r="R46" s="120"/>
      <c r="S46" s="120"/>
      <c r="T46" s="120"/>
      <c r="U46" s="124">
        <f t="shared" si="2"/>
        <v>0</v>
      </c>
      <c r="V46" s="1"/>
      <c r="W46" s="1"/>
      <c r="X46" s="1"/>
      <c r="Y46" s="1"/>
      <c r="Z46" s="1"/>
    </row>
    <row r="47" spans="1:26" x14ac:dyDescent="0.2">
      <c r="A47" s="99"/>
      <c r="B47" s="100"/>
      <c r="C47" s="113"/>
      <c r="D47" s="101" t="s">
        <v>260</v>
      </c>
      <c r="E47" s="118"/>
      <c r="F47" s="118"/>
      <c r="G47" s="118"/>
      <c r="H47" s="118"/>
      <c r="I47" s="118"/>
      <c r="J47" s="118"/>
      <c r="K47" s="118"/>
      <c r="L47" s="118"/>
      <c r="M47" s="118"/>
      <c r="N47" s="118"/>
      <c r="O47" s="118"/>
      <c r="P47" s="118"/>
      <c r="Q47" s="118"/>
      <c r="R47" s="118"/>
      <c r="S47" s="118"/>
      <c r="T47" s="118"/>
      <c r="U47" s="121">
        <f t="shared" si="2"/>
        <v>0</v>
      </c>
      <c r="V47" s="1"/>
      <c r="W47" s="1"/>
      <c r="X47" s="1"/>
      <c r="Y47" s="1"/>
      <c r="Z47" s="1"/>
    </row>
    <row r="48" spans="1:26" x14ac:dyDescent="0.2">
      <c r="A48" s="133"/>
      <c r="B48" s="134"/>
      <c r="C48" s="135"/>
      <c r="D48" s="115" t="s">
        <v>8</v>
      </c>
      <c r="E48" s="119"/>
      <c r="F48" s="119"/>
      <c r="G48" s="119"/>
      <c r="H48" s="119"/>
      <c r="I48" s="119"/>
      <c r="J48" s="119"/>
      <c r="K48" s="119"/>
      <c r="L48" s="119"/>
      <c r="M48" s="119"/>
      <c r="N48" s="119"/>
      <c r="O48" s="119"/>
      <c r="P48" s="119"/>
      <c r="Q48" s="119"/>
      <c r="R48" s="119"/>
      <c r="S48" s="119"/>
      <c r="T48" s="119"/>
      <c r="U48" s="122">
        <f t="shared" si="2"/>
        <v>0</v>
      </c>
      <c r="V48" s="1"/>
      <c r="W48" s="1"/>
      <c r="X48" s="1"/>
      <c r="Y48" s="1"/>
      <c r="Z48" s="1"/>
    </row>
    <row r="49" spans="1:26" x14ac:dyDescent="0.2">
      <c r="A49" s="136"/>
      <c r="B49" s="137"/>
      <c r="C49" s="138"/>
      <c r="D49" s="116" t="s">
        <v>9</v>
      </c>
      <c r="E49" s="120"/>
      <c r="F49" s="120"/>
      <c r="G49" s="120"/>
      <c r="H49" s="120"/>
      <c r="I49" s="120"/>
      <c r="J49" s="120"/>
      <c r="K49" s="120"/>
      <c r="L49" s="120"/>
      <c r="M49" s="120"/>
      <c r="N49" s="120"/>
      <c r="O49" s="120"/>
      <c r="P49" s="120"/>
      <c r="Q49" s="120"/>
      <c r="R49" s="120"/>
      <c r="S49" s="120"/>
      <c r="T49" s="120"/>
      <c r="U49" s="124">
        <f t="shared" si="2"/>
        <v>0</v>
      </c>
      <c r="V49" s="1"/>
      <c r="W49" s="1"/>
      <c r="X49" s="1"/>
      <c r="Y49" s="1"/>
      <c r="Z49" s="1"/>
    </row>
    <row r="50" spans="1:26" x14ac:dyDescent="0.2">
      <c r="A50" s="99"/>
      <c r="B50" s="100"/>
      <c r="C50" s="113"/>
      <c r="D50" s="101" t="s">
        <v>260</v>
      </c>
      <c r="E50" s="118"/>
      <c r="F50" s="118"/>
      <c r="G50" s="118"/>
      <c r="H50" s="118"/>
      <c r="I50" s="118"/>
      <c r="J50" s="118"/>
      <c r="K50" s="118"/>
      <c r="L50" s="118"/>
      <c r="M50" s="118"/>
      <c r="N50" s="118"/>
      <c r="O50" s="118"/>
      <c r="P50" s="118"/>
      <c r="Q50" s="118"/>
      <c r="R50" s="118"/>
      <c r="S50" s="118"/>
      <c r="T50" s="118"/>
      <c r="U50" s="121">
        <f t="shared" si="2"/>
        <v>0</v>
      </c>
      <c r="V50" s="1"/>
      <c r="W50" s="1"/>
      <c r="X50" s="1"/>
      <c r="Y50" s="1"/>
      <c r="Z50" s="1"/>
    </row>
    <row r="51" spans="1:26" x14ac:dyDescent="0.2">
      <c r="A51" s="133"/>
      <c r="B51" s="134"/>
      <c r="C51" s="135"/>
      <c r="D51" s="115" t="s">
        <v>8</v>
      </c>
      <c r="E51" s="119"/>
      <c r="F51" s="119"/>
      <c r="G51" s="119"/>
      <c r="H51" s="119"/>
      <c r="I51" s="119"/>
      <c r="J51" s="119"/>
      <c r="K51" s="119"/>
      <c r="L51" s="119"/>
      <c r="M51" s="119"/>
      <c r="N51" s="119"/>
      <c r="O51" s="119"/>
      <c r="P51" s="119"/>
      <c r="Q51" s="119"/>
      <c r="R51" s="119"/>
      <c r="S51" s="119"/>
      <c r="T51" s="119"/>
      <c r="U51" s="122">
        <f t="shared" si="2"/>
        <v>0</v>
      </c>
      <c r="V51" s="1"/>
      <c r="W51" s="1"/>
      <c r="X51" s="1"/>
      <c r="Y51" s="1"/>
      <c r="Z51" s="1"/>
    </row>
    <row r="52" spans="1:26" x14ac:dyDescent="0.2">
      <c r="A52" s="136"/>
      <c r="B52" s="137"/>
      <c r="C52" s="138"/>
      <c r="D52" s="116" t="s">
        <v>9</v>
      </c>
      <c r="E52" s="120"/>
      <c r="F52" s="120"/>
      <c r="G52" s="120"/>
      <c r="H52" s="120"/>
      <c r="I52" s="120"/>
      <c r="J52" s="120"/>
      <c r="K52" s="120"/>
      <c r="L52" s="120"/>
      <c r="M52" s="120"/>
      <c r="N52" s="120"/>
      <c r="O52" s="120"/>
      <c r="P52" s="120"/>
      <c r="Q52" s="120"/>
      <c r="R52" s="120"/>
      <c r="S52" s="120"/>
      <c r="T52" s="120"/>
      <c r="U52" s="124">
        <f t="shared" si="2"/>
        <v>0</v>
      </c>
      <c r="V52" s="1"/>
      <c r="W52" s="1"/>
      <c r="X52" s="1"/>
      <c r="Y52" s="1"/>
      <c r="Z52" s="1"/>
    </row>
    <row r="53" spans="1:26" x14ac:dyDescent="0.2">
      <c r="A53" s="127" t="s">
        <v>458</v>
      </c>
      <c r="B53" s="128"/>
      <c r="C53" s="129"/>
      <c r="D53" s="101" t="s">
        <v>260</v>
      </c>
      <c r="E53" s="121">
        <f t="shared" ref="E53" si="3">SUM(E14,E17,E20,E23,E26,E29,E32,E35,E38,E41,E44,E47,E50)</f>
        <v>0</v>
      </c>
      <c r="F53" s="121">
        <f t="shared" ref="F53:U53" si="4">SUM(F14,F17,F20,F23,F26,F29,F32,F35,F38,F41,F44,F47,F50)</f>
        <v>8</v>
      </c>
      <c r="G53" s="121">
        <f t="shared" si="4"/>
        <v>8</v>
      </c>
      <c r="H53" s="121">
        <f t="shared" si="4"/>
        <v>8</v>
      </c>
      <c r="I53" s="121">
        <f t="shared" si="4"/>
        <v>0</v>
      </c>
      <c r="J53" s="121">
        <f t="shared" si="4"/>
        <v>0</v>
      </c>
      <c r="K53" s="121">
        <f t="shared" si="4"/>
        <v>8</v>
      </c>
      <c r="L53" s="121">
        <f t="shared" si="4"/>
        <v>8</v>
      </c>
      <c r="M53" s="121">
        <f t="shared" si="4"/>
        <v>8</v>
      </c>
      <c r="N53" s="121">
        <f t="shared" si="4"/>
        <v>8</v>
      </c>
      <c r="O53" s="121">
        <f t="shared" si="4"/>
        <v>8</v>
      </c>
      <c r="P53" s="121">
        <f t="shared" si="4"/>
        <v>0</v>
      </c>
      <c r="Q53" s="121">
        <f t="shared" si="4"/>
        <v>0</v>
      </c>
      <c r="R53" s="121">
        <f t="shared" si="4"/>
        <v>8</v>
      </c>
      <c r="S53" s="121">
        <f t="shared" si="4"/>
        <v>8</v>
      </c>
      <c r="T53" s="121">
        <f t="shared" si="4"/>
        <v>0</v>
      </c>
      <c r="U53" s="121">
        <f t="shared" si="4"/>
        <v>80</v>
      </c>
      <c r="V53" s="1"/>
      <c r="W53" s="1"/>
      <c r="X53" s="1"/>
      <c r="Y53" s="1"/>
      <c r="Z53" s="1"/>
    </row>
    <row r="54" spans="1:26" x14ac:dyDescent="0.2">
      <c r="A54" s="127"/>
      <c r="B54" s="128"/>
      <c r="C54" s="129"/>
      <c r="D54" s="115" t="s">
        <v>8</v>
      </c>
      <c r="E54" s="122">
        <f t="shared" ref="E54:T55" si="5">SUM(E15,E18,E21,E24,E27,E30,E33,E36,E39,E42,E45,E48,E51)</f>
        <v>0</v>
      </c>
      <c r="F54" s="122">
        <f t="shared" ref="F54:U54" si="6">SUM(F15,F18,F21,F24,F27,F30,F33,F36,F39,F42,F45,F48,F51)</f>
        <v>0</v>
      </c>
      <c r="G54" s="122">
        <f t="shared" si="6"/>
        <v>0</v>
      </c>
      <c r="H54" s="122">
        <f t="shared" si="6"/>
        <v>0</v>
      </c>
      <c r="I54" s="122">
        <f t="shared" si="6"/>
        <v>0</v>
      </c>
      <c r="J54" s="122">
        <f t="shared" si="6"/>
        <v>0</v>
      </c>
      <c r="K54" s="122">
        <f t="shared" si="6"/>
        <v>0</v>
      </c>
      <c r="L54" s="122">
        <f t="shared" si="6"/>
        <v>0</v>
      </c>
      <c r="M54" s="122">
        <f t="shared" si="6"/>
        <v>0</v>
      </c>
      <c r="N54" s="122">
        <f t="shared" si="6"/>
        <v>0</v>
      </c>
      <c r="O54" s="122">
        <f t="shared" si="6"/>
        <v>0</v>
      </c>
      <c r="P54" s="122">
        <f t="shared" si="6"/>
        <v>0</v>
      </c>
      <c r="Q54" s="122">
        <f t="shared" si="6"/>
        <v>0</v>
      </c>
      <c r="R54" s="122">
        <f t="shared" si="6"/>
        <v>0</v>
      </c>
      <c r="S54" s="122">
        <f t="shared" si="6"/>
        <v>0</v>
      </c>
      <c r="T54" s="122">
        <f t="shared" si="6"/>
        <v>0</v>
      </c>
      <c r="U54" s="122">
        <f t="shared" si="6"/>
        <v>0</v>
      </c>
      <c r="V54" s="1"/>
      <c r="W54" s="1"/>
      <c r="X54" s="1"/>
      <c r="Y54" s="1"/>
      <c r="Z54" s="1"/>
    </row>
    <row r="55" spans="1:26" x14ac:dyDescent="0.2">
      <c r="A55" s="127"/>
      <c r="B55" s="128"/>
      <c r="C55" s="129"/>
      <c r="D55" s="116" t="s">
        <v>9</v>
      </c>
      <c r="E55" s="124">
        <f t="shared" si="5"/>
        <v>0</v>
      </c>
      <c r="F55" s="124">
        <f t="shared" si="5"/>
        <v>0</v>
      </c>
      <c r="G55" s="124">
        <f t="shared" si="5"/>
        <v>0</v>
      </c>
      <c r="H55" s="124">
        <f t="shared" si="5"/>
        <v>0</v>
      </c>
      <c r="I55" s="124">
        <f t="shared" si="5"/>
        <v>0</v>
      </c>
      <c r="J55" s="124">
        <f t="shared" si="5"/>
        <v>0</v>
      </c>
      <c r="K55" s="124">
        <f t="shared" si="5"/>
        <v>0</v>
      </c>
      <c r="L55" s="124">
        <f t="shared" si="5"/>
        <v>0</v>
      </c>
      <c r="M55" s="124">
        <f t="shared" si="5"/>
        <v>0</v>
      </c>
      <c r="N55" s="124">
        <f t="shared" si="5"/>
        <v>0</v>
      </c>
      <c r="O55" s="124">
        <f t="shared" si="5"/>
        <v>0</v>
      </c>
      <c r="P55" s="124">
        <f t="shared" si="5"/>
        <v>0</v>
      </c>
      <c r="Q55" s="124">
        <f t="shared" si="5"/>
        <v>0</v>
      </c>
      <c r="R55" s="124">
        <f t="shared" si="5"/>
        <v>0</v>
      </c>
      <c r="S55" s="124">
        <f t="shared" si="5"/>
        <v>0</v>
      </c>
      <c r="T55" s="124">
        <f t="shared" si="5"/>
        <v>0</v>
      </c>
      <c r="U55" s="124">
        <f t="shared" ref="U55" si="7">SUM(E55:T55)</f>
        <v>0</v>
      </c>
      <c r="V55" s="1"/>
      <c r="W55" s="1"/>
      <c r="X55" s="1"/>
      <c r="Y55" s="1"/>
      <c r="Z55" s="1"/>
    </row>
    <row r="56" spans="1:26" x14ac:dyDescent="0.2">
      <c r="A56" s="130"/>
      <c r="B56" s="131"/>
      <c r="C56" s="132"/>
      <c r="D56" s="117" t="s">
        <v>7</v>
      </c>
      <c r="E56" s="123">
        <f>SUM(E53:E55)</f>
        <v>0</v>
      </c>
      <c r="F56" s="123">
        <f t="shared" ref="F56:T56" si="8">SUM(F53:F55)</f>
        <v>8</v>
      </c>
      <c r="G56" s="123">
        <f t="shared" si="8"/>
        <v>8</v>
      </c>
      <c r="H56" s="123">
        <f t="shared" si="8"/>
        <v>8</v>
      </c>
      <c r="I56" s="123">
        <f t="shared" si="8"/>
        <v>0</v>
      </c>
      <c r="J56" s="123">
        <f t="shared" si="8"/>
        <v>0</v>
      </c>
      <c r="K56" s="123">
        <f t="shared" si="8"/>
        <v>8</v>
      </c>
      <c r="L56" s="123">
        <f t="shared" si="8"/>
        <v>8</v>
      </c>
      <c r="M56" s="123">
        <f t="shared" si="8"/>
        <v>8</v>
      </c>
      <c r="N56" s="123">
        <f t="shared" si="8"/>
        <v>8</v>
      </c>
      <c r="O56" s="123">
        <f t="shared" si="8"/>
        <v>8</v>
      </c>
      <c r="P56" s="123">
        <f t="shared" si="8"/>
        <v>0</v>
      </c>
      <c r="Q56" s="123">
        <f t="shared" si="8"/>
        <v>0</v>
      </c>
      <c r="R56" s="123">
        <f t="shared" si="8"/>
        <v>8</v>
      </c>
      <c r="S56" s="123">
        <f t="shared" si="8"/>
        <v>8</v>
      </c>
      <c r="T56" s="123">
        <f t="shared" si="8"/>
        <v>0</v>
      </c>
      <c r="U56" s="123">
        <f>SUM(U53:U55)</f>
        <v>80</v>
      </c>
      <c r="V56" s="1"/>
      <c r="W56" s="1"/>
      <c r="X56" s="1"/>
      <c r="Y56" s="1"/>
      <c r="Z56" s="1"/>
    </row>
    <row r="57" spans="1:26" x14ac:dyDescent="0.2">
      <c r="A57" s="7"/>
      <c r="B57" s="7"/>
      <c r="C57" s="102"/>
      <c r="D57" s="7"/>
      <c r="E57" s="77"/>
      <c r="F57" s="77"/>
      <c r="G57" s="77"/>
      <c r="H57" s="77"/>
      <c r="I57" s="77"/>
      <c r="J57" s="77"/>
      <c r="K57" s="77"/>
      <c r="L57" s="77"/>
      <c r="M57" s="77"/>
      <c r="N57" s="77"/>
      <c r="O57" s="61"/>
      <c r="P57" s="89"/>
      <c r="Q57" s="77"/>
      <c r="R57" s="77"/>
      <c r="S57" s="77"/>
      <c r="T57" s="77"/>
      <c r="U57" s="61"/>
      <c r="V57" s="1"/>
      <c r="W57" s="1"/>
      <c r="X57" s="1"/>
      <c r="Y57" s="1"/>
      <c r="Z57" s="1"/>
    </row>
    <row r="58" spans="1:26" x14ac:dyDescent="0.2">
      <c r="A58" s="7"/>
      <c r="B58" s="7"/>
      <c r="C58" s="57"/>
      <c r="D58" s="7"/>
      <c r="E58" s="77"/>
      <c r="F58" s="77"/>
      <c r="G58" s="77"/>
      <c r="H58" s="77"/>
      <c r="I58" s="77"/>
      <c r="J58" s="77"/>
      <c r="K58" s="77"/>
      <c r="L58" s="77"/>
      <c r="M58" s="77"/>
      <c r="N58" s="77"/>
      <c r="O58" s="61"/>
      <c r="P58" s="89"/>
      <c r="Q58" s="77"/>
      <c r="R58" s="77"/>
      <c r="S58" s="77"/>
      <c r="T58" s="77"/>
      <c r="U58" s="61"/>
      <c r="V58" s="1"/>
      <c r="W58" s="1"/>
      <c r="X58" s="1"/>
      <c r="Y58" s="1"/>
      <c r="Z58" s="1"/>
    </row>
    <row r="59" spans="1:26" x14ac:dyDescent="0.2">
      <c r="A59" s="7"/>
      <c r="B59" s="7"/>
      <c r="C59" s="57"/>
      <c r="D59" s="7"/>
      <c r="E59" s="77"/>
      <c r="F59" s="77"/>
      <c r="G59" s="77"/>
      <c r="H59" s="77"/>
      <c r="I59" s="77"/>
      <c r="J59" s="77"/>
      <c r="K59" s="77"/>
      <c r="L59" s="77"/>
      <c r="M59" s="77"/>
      <c r="N59" s="77"/>
      <c r="O59" s="61"/>
      <c r="P59" s="89"/>
      <c r="Q59" s="77"/>
      <c r="R59" s="77"/>
      <c r="S59" s="77"/>
      <c r="T59" s="77"/>
      <c r="U59" s="61"/>
      <c r="V59" s="1"/>
      <c r="W59" s="1"/>
      <c r="X59" s="1"/>
      <c r="Y59" s="1"/>
      <c r="Z59" s="1"/>
    </row>
    <row r="60" spans="1:26" x14ac:dyDescent="0.2">
      <c r="A60" s="7"/>
      <c r="B60" s="7"/>
      <c r="C60" s="57"/>
      <c r="D60" s="7"/>
      <c r="E60" s="77"/>
      <c r="F60" s="77"/>
      <c r="G60" s="77"/>
      <c r="H60" s="77"/>
      <c r="I60" s="77"/>
      <c r="J60" s="77"/>
      <c r="K60" s="77"/>
      <c r="L60" s="77"/>
      <c r="M60" s="77"/>
      <c r="N60" s="77"/>
      <c r="O60" s="61"/>
      <c r="P60" s="89"/>
      <c r="Q60" s="77"/>
      <c r="R60" s="77"/>
      <c r="S60" s="77"/>
      <c r="T60" s="77"/>
      <c r="U60" s="61"/>
      <c r="V60" s="1"/>
      <c r="W60" s="1"/>
      <c r="X60" s="1"/>
      <c r="Y60" s="1"/>
      <c r="Z60" s="1"/>
    </row>
    <row r="61" spans="1:26" x14ac:dyDescent="0.2">
      <c r="A61" s="7"/>
      <c r="B61" s="7"/>
      <c r="C61" s="57"/>
      <c r="D61" s="7"/>
      <c r="E61" s="77"/>
      <c r="F61" s="77"/>
      <c r="G61" s="77"/>
      <c r="H61" s="77"/>
      <c r="I61" s="77"/>
      <c r="J61" s="77"/>
      <c r="K61" s="77"/>
      <c r="L61" s="77"/>
      <c r="M61" s="77"/>
      <c r="N61" s="77"/>
      <c r="O61" s="61"/>
      <c r="P61" s="89"/>
      <c r="Q61" s="77"/>
      <c r="R61" s="77"/>
      <c r="S61" s="77"/>
      <c r="T61" s="77"/>
      <c r="U61" s="61"/>
      <c r="V61" s="1"/>
      <c r="W61" s="1"/>
      <c r="X61" s="1"/>
      <c r="Y61" s="1"/>
      <c r="Z61" s="1"/>
    </row>
    <row r="62" spans="1:26" ht="67.5" hidden="1" x14ac:dyDescent="0.2">
      <c r="A62" s="7"/>
      <c r="B62" s="7"/>
      <c r="C62" s="103" t="s">
        <v>131</v>
      </c>
      <c r="D62" s="7"/>
      <c r="E62" s="77"/>
      <c r="F62" s="77"/>
      <c r="G62" s="77"/>
      <c r="H62" s="77"/>
      <c r="I62" s="77"/>
      <c r="J62" s="77"/>
      <c r="K62" s="77"/>
      <c r="L62" s="77"/>
      <c r="M62" s="77"/>
      <c r="N62" s="77"/>
      <c r="O62" s="61"/>
      <c r="P62" s="89"/>
      <c r="Q62" s="77"/>
      <c r="R62" s="77"/>
      <c r="S62" s="77"/>
      <c r="T62" s="77"/>
      <c r="U62" s="61"/>
      <c r="V62" s="1"/>
      <c r="W62" s="1"/>
      <c r="X62" s="1"/>
      <c r="Y62" s="1"/>
      <c r="Z62" s="1"/>
    </row>
    <row r="63" spans="1:26" s="26" customFormat="1" hidden="1" x14ac:dyDescent="0.2">
      <c r="A63" s="24"/>
      <c r="B63" s="24"/>
      <c r="C63" s="58" t="s">
        <v>123</v>
      </c>
      <c r="D63" s="25"/>
      <c r="E63" s="90"/>
      <c r="F63" s="91"/>
      <c r="G63" s="92"/>
      <c r="H63" s="92"/>
      <c r="I63" s="92"/>
      <c r="J63" s="92"/>
      <c r="K63" s="92"/>
      <c r="L63" s="92"/>
      <c r="M63" s="92"/>
      <c r="N63" s="92"/>
      <c r="O63" s="92"/>
      <c r="P63" s="93"/>
      <c r="Q63" s="92"/>
      <c r="R63" s="92"/>
      <c r="S63" s="92"/>
      <c r="T63" s="92"/>
      <c r="U63" s="92">
        <f t="shared" ref="U63:U71" si="9">SUM(E63:T63)</f>
        <v>0</v>
      </c>
      <c r="V63" s="24"/>
      <c r="W63" s="24"/>
      <c r="X63" s="24"/>
      <c r="Y63" s="24"/>
      <c r="Z63" s="24"/>
    </row>
    <row r="64" spans="1:26" s="26" customFormat="1" hidden="1" x14ac:dyDescent="0.2">
      <c r="A64" s="24"/>
      <c r="B64" s="24"/>
      <c r="C64" s="104" t="s">
        <v>124</v>
      </c>
      <c r="D64" s="27"/>
      <c r="E64" s="90"/>
      <c r="F64" s="91"/>
      <c r="G64" s="92"/>
      <c r="H64" s="92"/>
      <c r="I64" s="92"/>
      <c r="J64" s="92"/>
      <c r="K64" s="92"/>
      <c r="L64" s="92"/>
      <c r="M64" s="92"/>
      <c r="N64" s="92"/>
      <c r="O64" s="92"/>
      <c r="P64" s="92"/>
      <c r="Q64" s="92"/>
      <c r="R64" s="92"/>
      <c r="S64" s="92"/>
      <c r="T64" s="92"/>
      <c r="U64" s="92">
        <f t="shared" si="9"/>
        <v>0</v>
      </c>
      <c r="V64" s="24"/>
      <c r="W64" s="24"/>
      <c r="X64" s="24"/>
      <c r="Y64" s="24"/>
      <c r="Z64" s="24"/>
    </row>
    <row r="65" spans="1:26" s="26" customFormat="1" hidden="1" x14ac:dyDescent="0.2">
      <c r="A65" s="28"/>
      <c r="B65" s="28"/>
      <c r="C65" s="59" t="s">
        <v>125</v>
      </c>
      <c r="D65" s="25"/>
      <c r="E65" s="90"/>
      <c r="F65" s="91"/>
      <c r="G65" s="92"/>
      <c r="H65" s="92"/>
      <c r="I65" s="92"/>
      <c r="J65" s="92"/>
      <c r="K65" s="92"/>
      <c r="L65" s="92"/>
      <c r="M65" s="92"/>
      <c r="N65" s="92"/>
      <c r="O65" s="92"/>
      <c r="P65" s="92"/>
      <c r="Q65" s="92"/>
      <c r="R65" s="92"/>
      <c r="S65" s="92"/>
      <c r="T65" s="92"/>
      <c r="U65" s="92">
        <f>SUM(E65:T65)</f>
        <v>0</v>
      </c>
      <c r="V65" s="24"/>
      <c r="W65" s="24"/>
      <c r="X65" s="24"/>
      <c r="Y65" s="24"/>
      <c r="Z65" s="24"/>
    </row>
    <row r="66" spans="1:26" s="26" customFormat="1" hidden="1" x14ac:dyDescent="0.2">
      <c r="A66" s="28"/>
      <c r="B66" s="28"/>
      <c r="C66" s="59" t="s">
        <v>126</v>
      </c>
      <c r="D66" s="25"/>
      <c r="E66" s="90"/>
      <c r="F66" s="91"/>
      <c r="G66" s="92"/>
      <c r="H66" s="92"/>
      <c r="I66" s="92"/>
      <c r="J66" s="92"/>
      <c r="K66" s="92"/>
      <c r="L66" s="92"/>
      <c r="M66" s="92"/>
      <c r="N66" s="92"/>
      <c r="O66" s="92"/>
      <c r="P66" s="92"/>
      <c r="Q66" s="92"/>
      <c r="R66" s="92"/>
      <c r="S66" s="92"/>
      <c r="T66" s="92"/>
      <c r="U66" s="92">
        <f t="shared" si="9"/>
        <v>0</v>
      </c>
      <c r="V66" s="24"/>
      <c r="W66" s="24"/>
      <c r="X66" s="24"/>
      <c r="Y66" s="24"/>
      <c r="Z66" s="24"/>
    </row>
    <row r="67" spans="1:26" s="26" customFormat="1" ht="25.5" hidden="1" x14ac:dyDescent="0.2">
      <c r="A67" s="28"/>
      <c r="B67" s="28"/>
      <c r="C67" s="59" t="s">
        <v>130</v>
      </c>
      <c r="D67" s="25"/>
      <c r="E67" s="90"/>
      <c r="F67" s="91"/>
      <c r="G67" s="92"/>
      <c r="H67" s="92"/>
      <c r="I67" s="92"/>
      <c r="J67" s="92"/>
      <c r="K67" s="92"/>
      <c r="L67" s="92"/>
      <c r="M67" s="92"/>
      <c r="N67" s="92"/>
      <c r="O67" s="92"/>
      <c r="P67" s="92"/>
      <c r="Q67" s="92"/>
      <c r="R67" s="92"/>
      <c r="S67" s="92"/>
      <c r="T67" s="92"/>
      <c r="U67" s="92">
        <f t="shared" si="9"/>
        <v>0</v>
      </c>
      <c r="V67" s="24"/>
      <c r="W67" s="24"/>
      <c r="X67" s="24"/>
      <c r="Y67" s="24"/>
      <c r="Z67" s="24"/>
    </row>
    <row r="68" spans="1:26" s="26" customFormat="1" hidden="1" x14ac:dyDescent="0.2">
      <c r="A68" s="28"/>
      <c r="B68" s="28"/>
      <c r="C68" s="59" t="s">
        <v>100</v>
      </c>
      <c r="D68" s="29"/>
      <c r="E68" s="90"/>
      <c r="F68" s="91"/>
      <c r="G68" s="92"/>
      <c r="H68" s="92"/>
      <c r="I68" s="92"/>
      <c r="J68" s="92"/>
      <c r="K68" s="92"/>
      <c r="L68" s="92"/>
      <c r="M68" s="92"/>
      <c r="N68" s="92"/>
      <c r="O68" s="92"/>
      <c r="P68" s="92"/>
      <c r="Q68" s="92"/>
      <c r="R68" s="92"/>
      <c r="S68" s="92"/>
      <c r="T68" s="92"/>
      <c r="U68" s="92">
        <f t="shared" si="9"/>
        <v>0</v>
      </c>
      <c r="V68" s="24"/>
      <c r="W68" s="24"/>
      <c r="X68" s="24"/>
      <c r="Y68" s="24"/>
      <c r="Z68" s="24"/>
    </row>
    <row r="69" spans="1:26" s="26" customFormat="1" hidden="1" x14ac:dyDescent="0.2">
      <c r="A69" s="28"/>
      <c r="B69" s="28"/>
      <c r="C69" s="59" t="s">
        <v>127</v>
      </c>
      <c r="D69" s="25"/>
      <c r="E69" s="90"/>
      <c r="F69" s="91"/>
      <c r="G69" s="92"/>
      <c r="H69" s="92"/>
      <c r="I69" s="92"/>
      <c r="J69" s="92"/>
      <c r="K69" s="92"/>
      <c r="L69" s="92"/>
      <c r="M69" s="92"/>
      <c r="N69" s="92"/>
      <c r="O69" s="92"/>
      <c r="P69" s="92"/>
      <c r="Q69" s="92"/>
      <c r="R69" s="92"/>
      <c r="S69" s="92"/>
      <c r="T69" s="92"/>
      <c r="U69" s="92">
        <f t="shared" si="9"/>
        <v>0</v>
      </c>
      <c r="V69" s="24"/>
      <c r="W69" s="24"/>
      <c r="X69" s="24"/>
      <c r="Y69" s="24"/>
      <c r="Z69" s="24"/>
    </row>
    <row r="70" spans="1:26" s="26" customFormat="1" hidden="1" x14ac:dyDescent="0.2">
      <c r="A70" s="28"/>
      <c r="B70" s="28"/>
      <c r="C70" s="59" t="s">
        <v>128</v>
      </c>
      <c r="D70" s="25"/>
      <c r="E70" s="90"/>
      <c r="F70" s="91"/>
      <c r="G70" s="92"/>
      <c r="H70" s="92"/>
      <c r="I70" s="92"/>
      <c r="J70" s="92"/>
      <c r="K70" s="92"/>
      <c r="L70" s="92"/>
      <c r="M70" s="92"/>
      <c r="N70" s="92"/>
      <c r="O70" s="92"/>
      <c r="P70" s="92"/>
      <c r="Q70" s="92"/>
      <c r="R70" s="92"/>
      <c r="S70" s="92"/>
      <c r="T70" s="92"/>
      <c r="U70" s="92">
        <f t="shared" si="9"/>
        <v>0</v>
      </c>
      <c r="V70" s="24"/>
      <c r="W70" s="24"/>
      <c r="X70" s="24"/>
      <c r="Y70" s="24"/>
      <c r="Z70" s="24"/>
    </row>
    <row r="71" spans="1:26" s="26" customFormat="1" hidden="1" x14ac:dyDescent="0.2">
      <c r="A71" s="28"/>
      <c r="B71" s="28"/>
      <c r="C71" s="59" t="s">
        <v>129</v>
      </c>
      <c r="D71" s="25"/>
      <c r="E71" s="90"/>
      <c r="F71" s="91"/>
      <c r="G71" s="92"/>
      <c r="H71" s="92"/>
      <c r="I71" s="92"/>
      <c r="J71" s="92"/>
      <c r="K71" s="92"/>
      <c r="L71" s="92"/>
      <c r="M71" s="92"/>
      <c r="N71" s="92"/>
      <c r="O71" s="92"/>
      <c r="P71" s="92"/>
      <c r="Q71" s="92"/>
      <c r="R71" s="92"/>
      <c r="S71" s="92"/>
      <c r="T71" s="92"/>
      <c r="U71" s="92">
        <f t="shared" si="9"/>
        <v>0</v>
      </c>
      <c r="V71" s="24"/>
      <c r="W71" s="24"/>
      <c r="X71" s="24"/>
      <c r="Y71" s="24"/>
      <c r="Z71" s="24"/>
    </row>
    <row r="72" spans="1:26" x14ac:dyDescent="0.2">
      <c r="A72" s="1"/>
      <c r="B72" s="1"/>
      <c r="C72" s="53"/>
      <c r="D72" s="1"/>
      <c r="E72" s="61"/>
      <c r="F72" s="61"/>
      <c r="G72" s="61"/>
      <c r="H72" s="61"/>
      <c r="I72" s="61"/>
      <c r="J72" s="61"/>
      <c r="K72" s="61"/>
      <c r="L72" s="61"/>
      <c r="M72" s="61"/>
      <c r="N72" s="61"/>
      <c r="O72" s="61"/>
      <c r="P72" s="61"/>
      <c r="Q72" s="61"/>
      <c r="R72" s="61"/>
      <c r="S72" s="61"/>
      <c r="U72" s="61"/>
      <c r="V72" s="1"/>
      <c r="W72" s="1"/>
      <c r="X72" s="1"/>
      <c r="Y72" s="1"/>
      <c r="Z72" s="1"/>
    </row>
    <row r="73" spans="1:26" x14ac:dyDescent="0.2">
      <c r="A73" s="1"/>
      <c r="B73" s="1"/>
      <c r="C73" s="53"/>
      <c r="D73" s="1"/>
      <c r="E73" s="61"/>
      <c r="F73" s="61"/>
      <c r="G73" s="61"/>
      <c r="H73" s="61"/>
      <c r="I73" s="61"/>
      <c r="J73" s="61"/>
      <c r="K73" s="61"/>
      <c r="L73" s="61"/>
      <c r="M73" s="61"/>
      <c r="N73" s="61"/>
      <c r="O73" s="61"/>
      <c r="P73" s="61"/>
      <c r="Q73" s="61"/>
      <c r="R73" s="61"/>
      <c r="S73" s="61"/>
      <c r="U73" s="61"/>
      <c r="V73" s="1"/>
      <c r="W73" s="1"/>
      <c r="X73" s="1"/>
      <c r="Y73" s="1"/>
      <c r="Z73" s="1"/>
    </row>
    <row r="74" spans="1:26" x14ac:dyDescent="0.2">
      <c r="A74" s="1"/>
      <c r="B74" s="1"/>
      <c r="C74" s="53"/>
      <c r="D74" s="1"/>
      <c r="E74" s="61"/>
      <c r="F74" s="61"/>
      <c r="G74" s="61"/>
      <c r="H74" s="61"/>
      <c r="I74" s="61"/>
      <c r="J74" s="61"/>
      <c r="K74" s="61"/>
      <c r="L74" s="61"/>
      <c r="M74" s="61"/>
      <c r="N74" s="61"/>
      <c r="O74" s="61"/>
      <c r="P74" s="61"/>
      <c r="Q74" s="61"/>
      <c r="R74" s="61"/>
      <c r="S74" s="61"/>
      <c r="U74" s="61"/>
      <c r="V74" s="1"/>
      <c r="W74" s="1"/>
      <c r="X74" s="1"/>
      <c r="Y74" s="1"/>
      <c r="Z74" s="1"/>
    </row>
    <row r="75" spans="1:26" x14ac:dyDescent="0.2">
      <c r="A75" s="1"/>
      <c r="B75" s="1"/>
      <c r="C75" s="53"/>
      <c r="D75" s="1"/>
      <c r="E75" s="61"/>
      <c r="F75" s="61"/>
      <c r="G75" s="61"/>
      <c r="H75" s="61"/>
      <c r="I75" s="61"/>
      <c r="J75" s="61"/>
      <c r="K75" s="61"/>
      <c r="L75" s="61"/>
      <c r="M75" s="61"/>
      <c r="N75" s="61"/>
      <c r="O75" s="61"/>
      <c r="P75" s="61"/>
      <c r="Q75" s="61"/>
      <c r="R75" s="61"/>
      <c r="S75" s="61"/>
      <c r="U75" s="61"/>
      <c r="V75" s="1"/>
      <c r="W75" s="1"/>
      <c r="X75" s="1"/>
      <c r="Y75" s="1"/>
      <c r="Z75" s="1"/>
    </row>
    <row r="76" spans="1:26" x14ac:dyDescent="0.2">
      <c r="A76" s="1"/>
      <c r="B76" s="1"/>
      <c r="C76" s="53"/>
      <c r="D76" s="1"/>
      <c r="E76" s="61"/>
      <c r="F76" s="61"/>
      <c r="G76" s="61"/>
      <c r="H76" s="61"/>
      <c r="I76" s="61"/>
      <c r="J76" s="61"/>
      <c r="K76" s="61"/>
      <c r="L76" s="61"/>
      <c r="M76" s="61"/>
      <c r="N76" s="61"/>
      <c r="O76" s="61"/>
      <c r="P76" s="61"/>
      <c r="Q76" s="61"/>
      <c r="R76" s="61"/>
      <c r="S76" s="61"/>
      <c r="U76" s="61"/>
      <c r="V76" s="1"/>
      <c r="W76" s="1"/>
      <c r="X76" s="1"/>
      <c r="Y76" s="1"/>
      <c r="Z76" s="1"/>
    </row>
    <row r="77" spans="1:26" x14ac:dyDescent="0.2">
      <c r="A77" s="1"/>
      <c r="B77" s="1"/>
      <c r="C77" s="53"/>
      <c r="D77" s="1"/>
      <c r="E77" s="61"/>
      <c r="F77" s="61"/>
      <c r="G77" s="61"/>
      <c r="H77" s="61"/>
      <c r="I77" s="61"/>
      <c r="J77" s="61"/>
      <c r="K77" s="61"/>
      <c r="L77" s="61"/>
      <c r="M77" s="61"/>
      <c r="N77" s="61"/>
      <c r="O77" s="61"/>
      <c r="P77" s="61"/>
      <c r="Q77" s="61"/>
      <c r="R77" s="61"/>
      <c r="S77" s="61"/>
      <c r="U77" s="61"/>
      <c r="V77" s="1"/>
      <c r="W77" s="1"/>
      <c r="X77" s="1"/>
      <c r="Y77" s="1"/>
      <c r="Z77" s="1"/>
    </row>
    <row r="78" spans="1:26" x14ac:dyDescent="0.2">
      <c r="A78" s="1"/>
      <c r="B78" s="1"/>
      <c r="C78" s="53"/>
      <c r="D78" s="1"/>
      <c r="E78" s="61"/>
      <c r="F78" s="61"/>
      <c r="G78" s="61"/>
      <c r="H78" s="61"/>
      <c r="I78" s="61"/>
      <c r="J78" s="61"/>
      <c r="K78" s="61"/>
      <c r="L78" s="61"/>
      <c r="M78" s="61"/>
      <c r="N78" s="61"/>
      <c r="O78" s="61"/>
      <c r="P78" s="61"/>
      <c r="Q78" s="61"/>
      <c r="R78" s="61"/>
      <c r="S78" s="61"/>
      <c r="U78" s="61"/>
      <c r="V78" s="1"/>
      <c r="W78" s="1"/>
      <c r="X78" s="1"/>
      <c r="Y78" s="1"/>
      <c r="Z78" s="1"/>
    </row>
    <row r="79" spans="1:26" x14ac:dyDescent="0.2">
      <c r="A79" s="1"/>
      <c r="B79" s="1"/>
      <c r="C79" s="53"/>
      <c r="D79" s="1"/>
      <c r="E79" s="61"/>
      <c r="F79" s="61"/>
      <c r="G79" s="61"/>
      <c r="H79" s="61"/>
      <c r="I79" s="61"/>
      <c r="J79" s="61"/>
      <c r="K79" s="61"/>
      <c r="L79" s="61"/>
      <c r="M79" s="61"/>
      <c r="N79" s="61"/>
      <c r="O79" s="61"/>
      <c r="P79" s="61"/>
      <c r="Q79" s="61"/>
      <c r="R79" s="61"/>
      <c r="S79" s="61"/>
      <c r="U79" s="61"/>
      <c r="V79" s="1"/>
      <c r="W79" s="1"/>
      <c r="X79" s="1"/>
      <c r="Y79" s="1"/>
      <c r="Z79" s="1"/>
    </row>
    <row r="80" spans="1:26" x14ac:dyDescent="0.2">
      <c r="A80" s="1"/>
      <c r="B80" s="1"/>
      <c r="C80" s="53"/>
      <c r="D80" s="1"/>
      <c r="E80" s="61"/>
      <c r="F80" s="61"/>
      <c r="G80" s="61"/>
      <c r="H80" s="61"/>
      <c r="I80" s="61"/>
      <c r="J80" s="61"/>
      <c r="K80" s="61"/>
      <c r="L80" s="61"/>
      <c r="M80" s="61"/>
      <c r="N80" s="61"/>
      <c r="O80" s="61"/>
      <c r="P80" s="61"/>
      <c r="Q80" s="61"/>
      <c r="R80" s="61"/>
      <c r="S80" s="61"/>
      <c r="U80" s="61"/>
      <c r="V80" s="1"/>
      <c r="W80" s="1"/>
      <c r="X80" s="1"/>
      <c r="Y80" s="1"/>
      <c r="Z80" s="1"/>
    </row>
    <row r="81" spans="1:26" x14ac:dyDescent="0.2">
      <c r="A81" s="1"/>
      <c r="B81" s="1"/>
      <c r="C81" s="53"/>
      <c r="D81" s="1"/>
      <c r="E81" s="61"/>
      <c r="F81" s="61"/>
      <c r="G81" s="61"/>
      <c r="H81" s="61"/>
      <c r="I81" s="61"/>
      <c r="J81" s="61"/>
      <c r="K81" s="61"/>
      <c r="L81" s="61"/>
      <c r="M81" s="61"/>
      <c r="N81" s="61"/>
      <c r="O81" s="61"/>
      <c r="P81" s="61"/>
      <c r="Q81" s="61"/>
      <c r="R81" s="61"/>
      <c r="S81" s="61"/>
      <c r="U81" s="61"/>
      <c r="V81" s="1"/>
      <c r="W81" s="1"/>
      <c r="X81" s="1"/>
      <c r="Y81" s="1"/>
      <c r="Z81" s="1"/>
    </row>
    <row r="82" spans="1:26" x14ac:dyDescent="0.2">
      <c r="A82" s="1"/>
      <c r="B82" s="1"/>
      <c r="C82" s="53"/>
      <c r="D82" s="1"/>
      <c r="E82" s="61"/>
      <c r="F82" s="61"/>
      <c r="G82" s="61"/>
      <c r="H82" s="61"/>
      <c r="I82" s="61"/>
      <c r="J82" s="61"/>
      <c r="K82" s="61"/>
      <c r="L82" s="61"/>
      <c r="M82" s="61"/>
      <c r="N82" s="61"/>
      <c r="O82" s="61"/>
      <c r="P82" s="61"/>
      <c r="Q82" s="61"/>
      <c r="R82" s="61"/>
      <c r="S82" s="61"/>
      <c r="U82" s="61"/>
      <c r="V82" s="1"/>
      <c r="W82" s="1"/>
      <c r="X82" s="1"/>
      <c r="Y82" s="1"/>
      <c r="Z82" s="1"/>
    </row>
    <row r="83" spans="1:26" x14ac:dyDescent="0.2">
      <c r="A83" s="1"/>
      <c r="B83" s="1"/>
      <c r="C83" s="53"/>
      <c r="D83" s="1"/>
      <c r="E83" s="61"/>
      <c r="F83" s="61"/>
      <c r="G83" s="61"/>
      <c r="H83" s="61"/>
      <c r="I83" s="61"/>
      <c r="J83" s="61"/>
      <c r="K83" s="61"/>
      <c r="L83" s="61"/>
      <c r="M83" s="61"/>
      <c r="N83" s="61"/>
      <c r="O83" s="61"/>
      <c r="P83" s="61"/>
      <c r="Q83" s="61"/>
      <c r="R83" s="61"/>
      <c r="S83" s="61"/>
      <c r="U83" s="61"/>
      <c r="V83" s="1"/>
      <c r="W83" s="1"/>
      <c r="X83" s="1"/>
      <c r="Y83" s="1"/>
      <c r="Z83" s="1"/>
    </row>
    <row r="84" spans="1:26" x14ac:dyDescent="0.2">
      <c r="A84" s="1"/>
      <c r="B84" s="1"/>
      <c r="C84" s="53"/>
      <c r="D84" s="1"/>
      <c r="E84" s="61"/>
      <c r="F84" s="61"/>
      <c r="G84" s="61"/>
      <c r="H84" s="61"/>
      <c r="I84" s="61"/>
      <c r="J84" s="61"/>
      <c r="K84" s="61"/>
      <c r="L84" s="61"/>
      <c r="M84" s="61"/>
      <c r="N84" s="61"/>
      <c r="O84" s="61"/>
      <c r="P84" s="61"/>
      <c r="Q84" s="61"/>
      <c r="R84" s="61"/>
      <c r="S84" s="61"/>
      <c r="U84" s="61"/>
      <c r="V84" s="1"/>
      <c r="W84" s="1"/>
      <c r="X84" s="1"/>
      <c r="Y84" s="1"/>
      <c r="Z84" s="1"/>
    </row>
    <row r="85" spans="1:26" x14ac:dyDescent="0.2">
      <c r="A85" s="1"/>
      <c r="B85" s="1"/>
      <c r="C85" s="53"/>
      <c r="D85" s="1"/>
      <c r="E85" s="61"/>
      <c r="F85" s="61"/>
      <c r="G85" s="61"/>
      <c r="H85" s="61"/>
      <c r="I85" s="61"/>
      <c r="J85" s="61"/>
      <c r="K85" s="61"/>
      <c r="L85" s="61"/>
      <c r="M85" s="61"/>
      <c r="N85" s="61"/>
      <c r="O85" s="61"/>
      <c r="P85" s="61"/>
      <c r="Q85" s="61"/>
      <c r="R85" s="61"/>
      <c r="S85" s="61"/>
      <c r="U85" s="61"/>
      <c r="V85" s="1"/>
      <c r="W85" s="1"/>
      <c r="X85" s="1"/>
      <c r="Y85" s="1"/>
      <c r="Z85" s="1"/>
    </row>
    <row r="86" spans="1:26" x14ac:dyDescent="0.2">
      <c r="A86" s="1"/>
      <c r="B86" s="1"/>
      <c r="C86" s="53"/>
      <c r="D86" s="1"/>
      <c r="E86" s="61"/>
      <c r="F86" s="61"/>
      <c r="G86" s="61"/>
      <c r="H86" s="61"/>
      <c r="I86" s="61"/>
      <c r="J86" s="61"/>
      <c r="K86" s="61"/>
      <c r="L86" s="61"/>
      <c r="M86" s="61"/>
      <c r="N86" s="61"/>
      <c r="O86" s="61"/>
      <c r="P86" s="61"/>
      <c r="Q86" s="61"/>
      <c r="R86" s="61"/>
      <c r="S86" s="61"/>
      <c r="U86" s="61"/>
      <c r="V86" s="1"/>
      <c r="W86" s="1"/>
      <c r="X86" s="1"/>
      <c r="Y86" s="1"/>
      <c r="Z86" s="1"/>
    </row>
    <row r="87" spans="1:26" x14ac:dyDescent="0.2">
      <c r="A87" s="1"/>
      <c r="B87" s="1"/>
      <c r="C87" s="53"/>
      <c r="D87" s="1"/>
      <c r="E87" s="61"/>
      <c r="F87" s="61"/>
      <c r="G87" s="61"/>
      <c r="H87" s="61"/>
      <c r="I87" s="61"/>
      <c r="J87" s="61"/>
      <c r="K87" s="61"/>
      <c r="L87" s="61"/>
      <c r="M87" s="61"/>
      <c r="N87" s="61"/>
      <c r="O87" s="61"/>
      <c r="P87" s="61"/>
      <c r="Q87" s="61"/>
      <c r="R87" s="61"/>
      <c r="S87" s="61"/>
      <c r="U87" s="61"/>
      <c r="V87" s="1"/>
      <c r="W87" s="1"/>
      <c r="X87" s="1"/>
      <c r="Y87" s="1"/>
      <c r="Z87" s="1"/>
    </row>
    <row r="88" spans="1:26" x14ac:dyDescent="0.2">
      <c r="A88" s="1"/>
      <c r="B88" s="1"/>
      <c r="C88" s="53"/>
      <c r="D88" s="1"/>
      <c r="E88" s="61"/>
      <c r="F88" s="61"/>
      <c r="G88" s="61"/>
      <c r="H88" s="61"/>
      <c r="I88" s="61"/>
      <c r="J88" s="61"/>
      <c r="K88" s="61"/>
      <c r="L88" s="61"/>
      <c r="M88" s="61"/>
      <c r="N88" s="61"/>
      <c r="O88" s="61"/>
      <c r="P88" s="61"/>
      <c r="Q88" s="61"/>
      <c r="R88" s="61"/>
      <c r="S88" s="61"/>
      <c r="U88" s="61"/>
      <c r="V88" s="1"/>
      <c r="W88" s="1"/>
      <c r="X88" s="1"/>
      <c r="Y88" s="1"/>
      <c r="Z88" s="1"/>
    </row>
    <row r="89" spans="1:26" x14ac:dyDescent="0.2">
      <c r="A89" s="1"/>
      <c r="B89" s="1"/>
      <c r="C89" s="53"/>
      <c r="D89" s="1"/>
      <c r="E89" s="61"/>
      <c r="F89" s="61"/>
      <c r="G89" s="61"/>
      <c r="H89" s="61"/>
      <c r="I89" s="61"/>
      <c r="J89" s="61"/>
      <c r="K89" s="61"/>
      <c r="L89" s="61"/>
      <c r="M89" s="61"/>
      <c r="N89" s="61"/>
      <c r="O89" s="61"/>
      <c r="P89" s="61"/>
      <c r="Q89" s="61"/>
      <c r="R89" s="61"/>
      <c r="S89" s="61"/>
      <c r="U89" s="61"/>
      <c r="V89" s="1"/>
      <c r="W89" s="1"/>
      <c r="X89" s="1"/>
      <c r="Y89" s="1"/>
      <c r="Z89" s="1"/>
    </row>
    <row r="90" spans="1:26" x14ac:dyDescent="0.2">
      <c r="A90" s="1"/>
      <c r="B90" s="1"/>
      <c r="C90" s="53"/>
      <c r="D90" s="1"/>
      <c r="E90" s="61"/>
      <c r="F90" s="61"/>
      <c r="G90" s="61"/>
      <c r="H90" s="61"/>
      <c r="I90" s="61"/>
      <c r="J90" s="61"/>
      <c r="K90" s="61"/>
      <c r="L90" s="61"/>
      <c r="M90" s="61"/>
      <c r="N90" s="61"/>
      <c r="O90" s="61"/>
      <c r="P90" s="61"/>
      <c r="Q90" s="61"/>
      <c r="R90" s="61"/>
      <c r="S90" s="61"/>
      <c r="U90" s="61"/>
      <c r="V90" s="1"/>
      <c r="W90" s="1"/>
      <c r="X90" s="1"/>
      <c r="Y90" s="1"/>
      <c r="Z90" s="1"/>
    </row>
    <row r="91" spans="1:26" x14ac:dyDescent="0.2">
      <c r="A91" s="1"/>
      <c r="B91" s="1"/>
      <c r="C91" s="53"/>
      <c r="D91" s="1"/>
      <c r="E91" s="61"/>
      <c r="F91" s="61"/>
      <c r="G91" s="61"/>
      <c r="H91" s="61"/>
      <c r="I91" s="61"/>
      <c r="J91" s="61"/>
      <c r="K91" s="61"/>
      <c r="L91" s="61"/>
      <c r="M91" s="61"/>
      <c r="N91" s="61"/>
      <c r="O91" s="61"/>
      <c r="P91" s="61"/>
      <c r="Q91" s="61"/>
      <c r="R91" s="61"/>
      <c r="S91" s="61"/>
      <c r="U91" s="61"/>
      <c r="V91" s="1"/>
      <c r="W91" s="1"/>
      <c r="X91" s="1"/>
      <c r="Y91" s="1"/>
      <c r="Z91" s="1"/>
    </row>
    <row r="92" spans="1:26" x14ac:dyDescent="0.2">
      <c r="A92" s="1"/>
      <c r="B92" s="1"/>
      <c r="C92" s="53"/>
      <c r="D92" s="1"/>
      <c r="E92" s="61"/>
      <c r="F92" s="61"/>
      <c r="G92" s="61"/>
      <c r="H92" s="61"/>
      <c r="I92" s="61"/>
      <c r="J92" s="61"/>
      <c r="K92" s="61"/>
      <c r="L92" s="61"/>
      <c r="M92" s="61"/>
      <c r="N92" s="61"/>
      <c r="O92" s="61"/>
      <c r="P92" s="61"/>
      <c r="Q92" s="61"/>
      <c r="R92" s="61"/>
      <c r="S92" s="61"/>
      <c r="U92" s="61"/>
      <c r="V92" s="1"/>
      <c r="W92" s="1"/>
      <c r="X92" s="1"/>
      <c r="Y92" s="1"/>
      <c r="Z92" s="1"/>
    </row>
    <row r="93" spans="1:26" x14ac:dyDescent="0.2">
      <c r="A93" s="1"/>
      <c r="B93" s="1"/>
      <c r="C93" s="53"/>
      <c r="D93" s="1"/>
      <c r="E93" s="61"/>
      <c r="F93" s="61"/>
      <c r="G93" s="61"/>
      <c r="H93" s="61"/>
      <c r="I93" s="61"/>
      <c r="J93" s="61"/>
      <c r="K93" s="61"/>
      <c r="L93" s="61"/>
      <c r="M93" s="61"/>
      <c r="N93" s="61"/>
      <c r="O93" s="61"/>
      <c r="P93" s="61"/>
      <c r="Q93" s="61"/>
      <c r="R93" s="61"/>
      <c r="S93" s="61"/>
      <c r="U93" s="61"/>
      <c r="V93" s="1"/>
      <c r="W93" s="1"/>
      <c r="X93" s="1"/>
      <c r="Y93" s="1"/>
      <c r="Z93" s="1"/>
    </row>
    <row r="94" spans="1:26" x14ac:dyDescent="0.2">
      <c r="A94" s="1"/>
      <c r="B94" s="1"/>
      <c r="C94" s="53"/>
      <c r="D94" s="1"/>
      <c r="E94" s="61"/>
      <c r="F94" s="61"/>
      <c r="G94" s="61"/>
      <c r="H94" s="61"/>
      <c r="I94" s="61"/>
      <c r="J94" s="61"/>
      <c r="K94" s="61"/>
      <c r="L94" s="61"/>
      <c r="M94" s="61"/>
      <c r="N94" s="61"/>
      <c r="O94" s="61"/>
      <c r="P94" s="61"/>
      <c r="Q94" s="61"/>
      <c r="R94" s="61"/>
      <c r="S94" s="61"/>
      <c r="U94" s="61"/>
      <c r="V94" s="1"/>
      <c r="W94" s="1"/>
      <c r="X94" s="1"/>
      <c r="Y94" s="1"/>
      <c r="Z94" s="1"/>
    </row>
    <row r="95" spans="1:26" x14ac:dyDescent="0.2">
      <c r="A95" s="1"/>
      <c r="B95" s="1"/>
      <c r="C95" s="53"/>
      <c r="D95" s="1"/>
      <c r="E95" s="61"/>
      <c r="F95" s="61"/>
      <c r="G95" s="61"/>
      <c r="H95" s="61"/>
      <c r="I95" s="61"/>
      <c r="J95" s="61"/>
      <c r="K95" s="61"/>
      <c r="L95" s="61"/>
      <c r="M95" s="61"/>
      <c r="N95" s="61"/>
      <c r="O95" s="61"/>
      <c r="P95" s="61"/>
      <c r="Q95" s="61"/>
      <c r="R95" s="61"/>
      <c r="S95" s="61"/>
      <c r="U95" s="61"/>
      <c r="V95" s="1"/>
      <c r="W95" s="1"/>
      <c r="X95" s="1"/>
      <c r="Y95" s="1"/>
      <c r="Z95" s="1"/>
    </row>
    <row r="96" spans="1:26" x14ac:dyDescent="0.2">
      <c r="A96" s="1"/>
      <c r="B96" s="1"/>
      <c r="C96" s="53"/>
      <c r="D96" s="1"/>
      <c r="E96" s="61"/>
      <c r="F96" s="61"/>
      <c r="G96" s="61"/>
      <c r="H96" s="61"/>
      <c r="I96" s="61"/>
      <c r="J96" s="61"/>
      <c r="K96" s="61"/>
      <c r="L96" s="61"/>
      <c r="M96" s="61"/>
      <c r="N96" s="61"/>
      <c r="O96" s="61"/>
      <c r="P96" s="61"/>
      <c r="Q96" s="61"/>
      <c r="R96" s="61"/>
      <c r="S96" s="61"/>
      <c r="U96" s="61"/>
      <c r="V96" s="1"/>
      <c r="W96" s="1"/>
      <c r="X96" s="1"/>
      <c r="Y96" s="1"/>
      <c r="Z96" s="1"/>
    </row>
    <row r="97" spans="1:26" x14ac:dyDescent="0.2">
      <c r="A97" s="1"/>
      <c r="B97" s="1"/>
      <c r="C97" s="53"/>
      <c r="D97" s="1"/>
      <c r="E97" s="61"/>
      <c r="F97" s="61"/>
      <c r="G97" s="61"/>
      <c r="H97" s="61"/>
      <c r="I97" s="61"/>
      <c r="J97" s="61"/>
      <c r="K97" s="61"/>
      <c r="L97" s="61"/>
      <c r="M97" s="61"/>
      <c r="N97" s="61"/>
      <c r="O97" s="61"/>
      <c r="P97" s="61"/>
      <c r="Q97" s="61"/>
      <c r="R97" s="61"/>
      <c r="S97" s="61"/>
      <c r="U97" s="61"/>
      <c r="V97" s="1"/>
      <c r="W97" s="1"/>
      <c r="X97" s="1"/>
      <c r="Y97" s="1"/>
      <c r="Z97" s="1"/>
    </row>
    <row r="98" spans="1:26" x14ac:dyDescent="0.2">
      <c r="A98" s="1"/>
      <c r="B98" s="1"/>
      <c r="C98" s="53"/>
      <c r="D98" s="1"/>
      <c r="E98" s="61"/>
      <c r="F98" s="61"/>
      <c r="G98" s="61"/>
      <c r="H98" s="61"/>
      <c r="I98" s="61"/>
      <c r="J98" s="61"/>
      <c r="K98" s="61"/>
      <c r="L98" s="61"/>
      <c r="M98" s="61"/>
      <c r="N98" s="61"/>
      <c r="O98" s="61"/>
      <c r="P98" s="61"/>
      <c r="Q98" s="61"/>
      <c r="R98" s="61"/>
      <c r="S98" s="61"/>
      <c r="U98" s="61"/>
      <c r="V98" s="1"/>
      <c r="W98" s="1"/>
      <c r="X98" s="1"/>
      <c r="Y98" s="1"/>
      <c r="Z98" s="1"/>
    </row>
    <row r="99" spans="1:26" x14ac:dyDescent="0.2">
      <c r="A99" s="1"/>
      <c r="B99" s="1"/>
      <c r="C99" s="53"/>
      <c r="D99" s="1"/>
      <c r="E99" s="61"/>
      <c r="F99" s="61"/>
      <c r="G99" s="61"/>
      <c r="H99" s="61"/>
      <c r="I99" s="61"/>
      <c r="J99" s="61"/>
      <c r="K99" s="61"/>
      <c r="L99" s="61"/>
      <c r="M99" s="61"/>
      <c r="N99" s="61"/>
      <c r="O99" s="61"/>
      <c r="P99" s="61"/>
      <c r="Q99" s="61"/>
      <c r="R99" s="61"/>
      <c r="S99" s="61"/>
      <c r="U99" s="61"/>
      <c r="V99" s="1"/>
      <c r="W99" s="1"/>
      <c r="X99" s="1"/>
      <c r="Y99" s="1"/>
      <c r="Z99" s="1"/>
    </row>
    <row r="100" spans="1:26" x14ac:dyDescent="0.2">
      <c r="A100" s="1"/>
      <c r="B100" s="1"/>
      <c r="C100" s="53"/>
      <c r="D100" s="1"/>
      <c r="E100" s="61"/>
      <c r="F100" s="61"/>
      <c r="G100" s="61"/>
      <c r="H100" s="61"/>
      <c r="I100" s="61"/>
      <c r="J100" s="61"/>
      <c r="K100" s="61"/>
      <c r="L100" s="61"/>
      <c r="M100" s="61"/>
      <c r="N100" s="61"/>
      <c r="O100" s="61"/>
      <c r="P100" s="61"/>
      <c r="Q100" s="61"/>
      <c r="R100" s="61"/>
      <c r="S100" s="61"/>
      <c r="U100" s="61"/>
      <c r="V100" s="1"/>
      <c r="W100" s="1"/>
      <c r="X100" s="1"/>
      <c r="Y100" s="1"/>
      <c r="Z100" s="1"/>
    </row>
    <row r="101" spans="1:26" x14ac:dyDescent="0.2">
      <c r="A101" s="1"/>
      <c r="B101" s="1"/>
      <c r="C101" s="53"/>
      <c r="D101" s="1"/>
      <c r="E101" s="61"/>
      <c r="F101" s="61"/>
      <c r="G101" s="61"/>
      <c r="H101" s="61"/>
      <c r="I101" s="61"/>
      <c r="J101" s="61"/>
      <c r="K101" s="61"/>
      <c r="L101" s="61"/>
      <c r="M101" s="61"/>
      <c r="N101" s="61"/>
      <c r="O101" s="61"/>
      <c r="P101" s="61"/>
      <c r="Q101" s="61"/>
      <c r="R101" s="61"/>
      <c r="S101" s="61"/>
      <c r="U101" s="61"/>
      <c r="V101" s="1"/>
      <c r="W101" s="1"/>
      <c r="X101" s="1"/>
      <c r="Y101" s="1"/>
      <c r="Z101" s="1"/>
    </row>
    <row r="102" spans="1:26" x14ac:dyDescent="0.2">
      <c r="A102" s="1"/>
      <c r="B102" s="1"/>
      <c r="C102" s="53"/>
      <c r="D102" s="1"/>
      <c r="E102" s="61"/>
      <c r="F102" s="61"/>
      <c r="G102" s="61"/>
      <c r="H102" s="61"/>
      <c r="I102" s="61"/>
      <c r="J102" s="61"/>
      <c r="K102" s="61"/>
      <c r="L102" s="61"/>
      <c r="M102" s="61"/>
      <c r="N102" s="61"/>
      <c r="O102" s="61"/>
      <c r="P102" s="61"/>
      <c r="Q102" s="61"/>
      <c r="R102" s="61"/>
      <c r="S102" s="61"/>
      <c r="U102" s="61"/>
      <c r="V102" s="1"/>
      <c r="W102" s="1"/>
      <c r="X102" s="1"/>
      <c r="Y102" s="1"/>
      <c r="Z102" s="1"/>
    </row>
    <row r="103" spans="1:26" x14ac:dyDescent="0.2">
      <c r="A103" s="1"/>
      <c r="B103" s="1"/>
      <c r="C103" s="53"/>
      <c r="D103" s="1"/>
      <c r="E103" s="61"/>
      <c r="F103" s="61"/>
      <c r="G103" s="61"/>
      <c r="H103" s="61"/>
      <c r="I103" s="61"/>
      <c r="J103" s="61"/>
      <c r="K103" s="61"/>
      <c r="L103" s="61"/>
      <c r="M103" s="61"/>
      <c r="N103" s="61"/>
      <c r="O103" s="61"/>
      <c r="P103" s="61"/>
      <c r="Q103" s="61"/>
      <c r="R103" s="61"/>
      <c r="S103" s="61"/>
      <c r="U103" s="61"/>
      <c r="V103" s="1"/>
      <c r="W103" s="1"/>
      <c r="X103" s="1"/>
      <c r="Y103" s="1"/>
      <c r="Z103" s="1"/>
    </row>
    <row r="104" spans="1:26" x14ac:dyDescent="0.2">
      <c r="A104" s="1"/>
      <c r="B104" s="1"/>
      <c r="C104" s="53"/>
      <c r="D104" s="1"/>
      <c r="E104" s="61"/>
      <c r="F104" s="61"/>
      <c r="G104" s="61"/>
      <c r="H104" s="61"/>
      <c r="I104" s="61"/>
      <c r="J104" s="61"/>
      <c r="K104" s="61"/>
      <c r="L104" s="61"/>
      <c r="M104" s="61"/>
      <c r="N104" s="61"/>
      <c r="O104" s="61"/>
      <c r="P104" s="61"/>
      <c r="Q104" s="61"/>
      <c r="R104" s="61"/>
      <c r="S104" s="61"/>
      <c r="U104" s="61"/>
      <c r="V104" s="1"/>
      <c r="W104" s="1"/>
      <c r="X104" s="1"/>
      <c r="Y104" s="1"/>
      <c r="Z104" s="1"/>
    </row>
    <row r="105" spans="1:26" x14ac:dyDescent="0.2">
      <c r="A105" s="1"/>
      <c r="B105" s="1"/>
      <c r="C105" s="53"/>
      <c r="D105" s="1"/>
      <c r="E105" s="61"/>
      <c r="F105" s="61"/>
      <c r="G105" s="61"/>
      <c r="H105" s="61"/>
      <c r="I105" s="61"/>
      <c r="J105" s="61"/>
      <c r="K105" s="61"/>
      <c r="L105" s="61"/>
      <c r="M105" s="61"/>
      <c r="N105" s="61"/>
      <c r="O105" s="61"/>
      <c r="P105" s="61"/>
      <c r="Q105" s="61"/>
      <c r="R105" s="61"/>
      <c r="S105" s="61"/>
      <c r="U105" s="61"/>
      <c r="V105" s="1"/>
      <c r="W105" s="1"/>
      <c r="X105" s="1"/>
      <c r="Y105" s="1"/>
      <c r="Z105" s="1"/>
    </row>
    <row r="106" spans="1:26" x14ac:dyDescent="0.2">
      <c r="A106" s="1"/>
      <c r="B106" s="1"/>
      <c r="C106" s="53"/>
      <c r="D106" s="1"/>
      <c r="E106" s="61"/>
      <c r="F106" s="61"/>
      <c r="G106" s="61"/>
      <c r="H106" s="61"/>
      <c r="I106" s="61"/>
      <c r="J106" s="61"/>
      <c r="K106" s="61"/>
      <c r="L106" s="61"/>
      <c r="M106" s="61"/>
      <c r="N106" s="61"/>
      <c r="O106" s="61"/>
      <c r="P106" s="61"/>
      <c r="Q106" s="61"/>
      <c r="R106" s="61"/>
      <c r="S106" s="61"/>
      <c r="U106" s="61"/>
      <c r="V106" s="1"/>
      <c r="W106" s="1"/>
      <c r="X106" s="1"/>
      <c r="Y106" s="1"/>
      <c r="Z106" s="1"/>
    </row>
    <row r="107" spans="1:26" x14ac:dyDescent="0.2">
      <c r="A107" s="1"/>
      <c r="B107" s="1"/>
      <c r="C107" s="53"/>
      <c r="D107" s="1"/>
      <c r="E107" s="61"/>
      <c r="F107" s="61"/>
      <c r="G107" s="61"/>
      <c r="H107" s="61"/>
      <c r="I107" s="61"/>
      <c r="J107" s="61"/>
      <c r="K107" s="61"/>
      <c r="L107" s="61"/>
      <c r="M107" s="61"/>
      <c r="N107" s="61"/>
      <c r="O107" s="61"/>
      <c r="P107" s="61"/>
      <c r="Q107" s="61"/>
      <c r="R107" s="61"/>
      <c r="S107" s="61"/>
      <c r="U107" s="61"/>
      <c r="V107" s="1"/>
      <c r="W107" s="1"/>
      <c r="X107" s="1"/>
      <c r="Y107" s="1"/>
      <c r="Z107" s="1"/>
    </row>
    <row r="108" spans="1:26" x14ac:dyDescent="0.2">
      <c r="A108" s="1"/>
      <c r="B108" s="1"/>
      <c r="C108" s="53"/>
      <c r="D108" s="1"/>
      <c r="E108" s="61"/>
      <c r="F108" s="61"/>
      <c r="G108" s="61"/>
      <c r="H108" s="61"/>
      <c r="I108" s="61"/>
      <c r="J108" s="61"/>
      <c r="K108" s="61"/>
      <c r="L108" s="61"/>
      <c r="M108" s="61"/>
      <c r="N108" s="61"/>
      <c r="O108" s="61"/>
      <c r="P108" s="61"/>
      <c r="Q108" s="61"/>
      <c r="R108" s="61"/>
      <c r="S108" s="61"/>
      <c r="U108" s="61"/>
      <c r="V108" s="1"/>
      <c r="W108" s="1"/>
      <c r="X108" s="1"/>
      <c r="Y108" s="1"/>
      <c r="Z108" s="1"/>
    </row>
    <row r="109" spans="1:26" x14ac:dyDescent="0.2">
      <c r="A109" s="1"/>
      <c r="B109" s="1"/>
      <c r="C109" s="53"/>
      <c r="D109" s="1"/>
      <c r="E109" s="61"/>
      <c r="F109" s="61"/>
      <c r="G109" s="61"/>
      <c r="H109" s="61"/>
      <c r="I109" s="61"/>
      <c r="J109" s="61"/>
      <c r="K109" s="61"/>
      <c r="L109" s="61"/>
      <c r="M109" s="61"/>
      <c r="N109" s="61"/>
      <c r="O109" s="61"/>
      <c r="P109" s="61"/>
      <c r="Q109" s="61"/>
      <c r="R109" s="61"/>
      <c r="S109" s="61"/>
      <c r="U109" s="61"/>
      <c r="V109" s="1"/>
      <c r="W109" s="1"/>
      <c r="X109" s="1"/>
      <c r="Y109" s="1"/>
      <c r="Z109" s="1"/>
    </row>
    <row r="110" spans="1:26" x14ac:dyDescent="0.2">
      <c r="A110" s="1"/>
      <c r="B110" s="1"/>
      <c r="C110" s="53"/>
      <c r="D110" s="1"/>
      <c r="E110" s="61"/>
      <c r="F110" s="61"/>
      <c r="G110" s="61"/>
      <c r="H110" s="61"/>
      <c r="I110" s="61"/>
      <c r="J110" s="61"/>
      <c r="K110" s="61"/>
      <c r="L110" s="61"/>
      <c r="M110" s="61"/>
      <c r="N110" s="61"/>
      <c r="O110" s="61"/>
      <c r="P110" s="61"/>
      <c r="Q110" s="61"/>
      <c r="R110" s="61"/>
      <c r="S110" s="61"/>
      <c r="U110" s="61"/>
      <c r="V110" s="1"/>
      <c r="W110" s="1"/>
      <c r="X110" s="1"/>
      <c r="Y110" s="1"/>
      <c r="Z110" s="1"/>
    </row>
    <row r="111" spans="1:26" x14ac:dyDescent="0.2">
      <c r="A111" s="1"/>
      <c r="B111" s="1"/>
      <c r="C111" s="53"/>
      <c r="D111" s="1"/>
      <c r="E111" s="61"/>
      <c r="F111" s="61"/>
      <c r="G111" s="61"/>
      <c r="H111" s="61"/>
      <c r="I111" s="61"/>
      <c r="J111" s="61"/>
      <c r="K111" s="61"/>
      <c r="L111" s="61"/>
      <c r="M111" s="61"/>
      <c r="N111" s="61"/>
      <c r="O111" s="61"/>
      <c r="P111" s="61"/>
      <c r="Q111" s="61"/>
      <c r="R111" s="61"/>
      <c r="S111" s="61"/>
      <c r="U111" s="61"/>
      <c r="V111" s="1"/>
      <c r="W111" s="1"/>
      <c r="X111" s="1"/>
      <c r="Y111" s="1"/>
      <c r="Z111" s="1"/>
    </row>
    <row r="112" spans="1:26" x14ac:dyDescent="0.2">
      <c r="A112" s="1"/>
      <c r="B112" s="1"/>
      <c r="C112" s="53"/>
      <c r="D112" s="1"/>
      <c r="E112" s="61"/>
      <c r="F112" s="61"/>
      <c r="G112" s="61"/>
      <c r="H112" s="61"/>
      <c r="I112" s="61"/>
      <c r="J112" s="61"/>
      <c r="K112" s="61"/>
      <c r="L112" s="61"/>
      <c r="M112" s="61"/>
      <c r="N112" s="61"/>
      <c r="O112" s="61"/>
      <c r="P112" s="61"/>
      <c r="Q112" s="61"/>
      <c r="R112" s="61"/>
      <c r="S112" s="61"/>
      <c r="U112" s="61"/>
      <c r="V112" s="1"/>
      <c r="W112" s="1"/>
      <c r="X112" s="1"/>
      <c r="Y112" s="1"/>
      <c r="Z112" s="1"/>
    </row>
    <row r="113" spans="1:26" x14ac:dyDescent="0.2">
      <c r="A113" s="1"/>
      <c r="B113" s="1"/>
      <c r="C113" s="53"/>
      <c r="D113" s="1"/>
      <c r="E113" s="61"/>
      <c r="F113" s="61"/>
      <c r="G113" s="61"/>
      <c r="H113" s="61"/>
      <c r="I113" s="61"/>
      <c r="J113" s="61"/>
      <c r="K113" s="61"/>
      <c r="L113" s="61"/>
      <c r="M113" s="61"/>
      <c r="N113" s="61"/>
      <c r="O113" s="61"/>
      <c r="P113" s="61"/>
      <c r="Q113" s="61"/>
      <c r="R113" s="61"/>
      <c r="S113" s="61"/>
      <c r="U113" s="61"/>
      <c r="V113" s="1"/>
      <c r="W113" s="1"/>
      <c r="X113" s="1"/>
      <c r="Y113" s="1"/>
      <c r="Z113" s="1"/>
    </row>
    <row r="114" spans="1:26" x14ac:dyDescent="0.2">
      <c r="A114" s="1"/>
      <c r="B114" s="1"/>
      <c r="C114" s="53"/>
      <c r="D114" s="1"/>
      <c r="E114" s="61"/>
      <c r="F114" s="61"/>
      <c r="G114" s="61"/>
      <c r="H114" s="61"/>
      <c r="I114" s="61"/>
      <c r="J114" s="61"/>
      <c r="K114" s="61"/>
      <c r="L114" s="61"/>
      <c r="M114" s="61"/>
      <c r="N114" s="61"/>
      <c r="O114" s="61"/>
      <c r="P114" s="61"/>
      <c r="Q114" s="61"/>
      <c r="R114" s="61"/>
      <c r="S114" s="61"/>
      <c r="U114" s="61"/>
      <c r="V114" s="1"/>
      <c r="W114" s="1"/>
      <c r="X114" s="1"/>
      <c r="Y114" s="1"/>
      <c r="Z114" s="1"/>
    </row>
  </sheetData>
  <sheetProtection sheet="1" objects="1" scenarios="1"/>
  <mergeCells count="20">
    <mergeCell ref="L1:M1"/>
    <mergeCell ref="A13:C13"/>
    <mergeCell ref="C10:D10"/>
    <mergeCell ref="C6:D6"/>
    <mergeCell ref="C7:D7"/>
    <mergeCell ref="C5:D5"/>
    <mergeCell ref="A53:C56"/>
    <mergeCell ref="A15:C16"/>
    <mergeCell ref="A18:C19"/>
    <mergeCell ref="A21:C22"/>
    <mergeCell ref="A24:C25"/>
    <mergeCell ref="A27:C28"/>
    <mergeCell ref="A30:C31"/>
    <mergeCell ref="A33:C34"/>
    <mergeCell ref="A36:C37"/>
    <mergeCell ref="A39:C40"/>
    <mergeCell ref="A42:C43"/>
    <mergeCell ref="A45:C46"/>
    <mergeCell ref="A48:C49"/>
    <mergeCell ref="A51:C52"/>
  </mergeCells>
  <phoneticPr fontId="21"/>
  <conditionalFormatting sqref="E12:T12">
    <cfRule type="cellIs" dxfId="5" priority="7" operator="equal">
      <formula>""</formula>
    </cfRule>
  </conditionalFormatting>
  <conditionalFormatting sqref="E12:T12">
    <cfRule type="cellIs" dxfId="4" priority="5" operator="greaterThan">
      <formula>0</formula>
    </cfRule>
    <cfRule type="cellIs" dxfId="3" priority="6" operator="lessThan">
      <formula>0</formula>
    </cfRule>
  </conditionalFormatting>
  <dataValidations count="4">
    <dataValidation type="list" allowBlank="1" showInputMessage="1" showErrorMessage="1" sqref="P1">
      <formula1>INDIRECT("tblPeriod[Period]")</formula1>
    </dataValidation>
    <dataValidation type="list" allowBlank="1" showInputMessage="1" showErrorMessage="1" sqref="H1">
      <formula1>INDIRECT("tblYear[Year]")</formula1>
    </dataValidation>
    <dataValidation type="list" allowBlank="1" showInputMessage="1" showErrorMessage="1" sqref="L1:M1">
      <formula1>INDIRECT("tblMonth[Month]")</formula1>
    </dataValidation>
    <dataValidation type="list" allowBlank="1" showInputMessage="1" showErrorMessage="1" sqref="C50 C14 C17 C20 C23 C26 C29 C32 C35 C38 C41 C44 C47">
      <formula1>JOBCODES</formula1>
    </dataValidation>
  </dataValidations>
  <pageMargins left="0.75" right="0.75" top="1" bottom="1" header="0.51200000000000001" footer="0.51200000000000001"/>
  <pageSetup paperSize="9" scale="62" orientation="landscape" horizontalDpi="300" verticalDpi="3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155"/>
  <sheetViews>
    <sheetView workbookViewId="0">
      <selection activeCell="A2" sqref="A2"/>
    </sheetView>
  </sheetViews>
  <sheetFormatPr defaultRowHeight="13.5" x14ac:dyDescent="0.15"/>
  <cols>
    <col min="1" max="1" width="4.75" style="9" customWidth="1"/>
    <col min="3" max="3" width="17.25" customWidth="1"/>
    <col min="4" max="4" width="14.375" customWidth="1"/>
    <col min="5" max="5" width="16.25" customWidth="1"/>
    <col min="6" max="6" width="24.375" customWidth="1"/>
    <col min="28" max="28" width="2.25" customWidth="1"/>
    <col min="29" max="29" width="9.375" bestFit="1" customWidth="1"/>
    <col min="30" max="30" width="3" customWidth="1"/>
  </cols>
  <sheetData>
    <row r="1" spans="1:32" x14ac:dyDescent="0.15">
      <c r="A1" s="9" t="s">
        <v>467</v>
      </c>
      <c r="AA1" t="s">
        <v>405</v>
      </c>
      <c r="AC1" t="s">
        <v>406</v>
      </c>
      <c r="AD1" t="s">
        <v>466</v>
      </c>
      <c r="AF1" t="s">
        <v>407</v>
      </c>
    </row>
    <row r="2" spans="1:32" x14ac:dyDescent="0.15">
      <c r="AA2">
        <v>2018</v>
      </c>
      <c r="AC2" t="s">
        <v>399</v>
      </c>
      <c r="AD2" s="125">
        <v>1</v>
      </c>
      <c r="AF2">
        <v>1</v>
      </c>
    </row>
    <row r="3" spans="1:32" x14ac:dyDescent="0.15">
      <c r="A3" s="9" t="s">
        <v>70</v>
      </c>
      <c r="B3" s="9" t="s">
        <v>77</v>
      </c>
      <c r="AA3">
        <v>2019</v>
      </c>
      <c r="AC3" t="s">
        <v>408</v>
      </c>
      <c r="AD3" s="125">
        <v>2</v>
      </c>
      <c r="AF3">
        <v>2</v>
      </c>
    </row>
    <row r="4" spans="1:32" s="21" customFormat="1" ht="27" x14ac:dyDescent="0.15">
      <c r="A4" s="32"/>
      <c r="B4" s="32"/>
      <c r="C4" s="20" t="s">
        <v>150</v>
      </c>
      <c r="D4" s="22" t="s">
        <v>151</v>
      </c>
      <c r="AA4" s="21">
        <v>2020</v>
      </c>
      <c r="AB4" s="107"/>
      <c r="AC4" s="21" t="s">
        <v>409</v>
      </c>
      <c r="AD4" s="125">
        <v>3</v>
      </c>
      <c r="AE4" s="107"/>
      <c r="AF4" s="107"/>
    </row>
    <row r="5" spans="1:32" s="21" customFormat="1" x14ac:dyDescent="0.15">
      <c r="A5" s="32"/>
      <c r="B5" s="32"/>
      <c r="C5" s="20" t="s">
        <v>152</v>
      </c>
      <c r="D5" s="22" t="s">
        <v>153</v>
      </c>
      <c r="E5" s="21">
        <v>2000</v>
      </c>
      <c r="AB5" s="107"/>
      <c r="AC5" s="21" t="s">
        <v>410</v>
      </c>
      <c r="AD5" s="125">
        <v>4</v>
      </c>
      <c r="AE5" s="107"/>
      <c r="AF5" s="107"/>
    </row>
    <row r="6" spans="1:32" s="21" customFormat="1" x14ac:dyDescent="0.15">
      <c r="A6" s="32"/>
      <c r="B6" s="32"/>
      <c r="C6" s="20" t="s">
        <v>154</v>
      </c>
      <c r="D6" s="22" t="s">
        <v>155</v>
      </c>
      <c r="E6" s="21">
        <v>2004</v>
      </c>
      <c r="F6" s="149" t="s">
        <v>156</v>
      </c>
      <c r="G6" s="149"/>
      <c r="H6" s="149"/>
      <c r="I6" s="149"/>
      <c r="J6" s="149"/>
      <c r="AB6" s="107"/>
      <c r="AC6" s="21" t="s">
        <v>411</v>
      </c>
      <c r="AD6" s="125">
        <v>5</v>
      </c>
      <c r="AE6" s="107"/>
      <c r="AF6" s="107"/>
    </row>
    <row r="7" spans="1:32" s="21" customFormat="1" x14ac:dyDescent="0.15">
      <c r="A7" s="32"/>
      <c r="B7" s="20"/>
      <c r="C7" s="30">
        <v>2.1</v>
      </c>
      <c r="D7" s="22" t="s">
        <v>136</v>
      </c>
      <c r="E7" s="33">
        <v>39934</v>
      </c>
      <c r="F7" s="150" t="s">
        <v>157</v>
      </c>
      <c r="G7" s="150"/>
      <c r="H7" s="150"/>
      <c r="I7" s="150"/>
      <c r="J7" s="150"/>
      <c r="AB7" s="107"/>
      <c r="AC7" s="21" t="s">
        <v>412</v>
      </c>
      <c r="AD7" s="125">
        <v>6</v>
      </c>
      <c r="AE7" s="107"/>
      <c r="AF7" s="107"/>
    </row>
    <row r="8" spans="1:32" s="21" customFormat="1" x14ac:dyDescent="0.15">
      <c r="A8" s="32"/>
      <c r="B8" s="20"/>
      <c r="C8" s="37">
        <v>2.2000000000000002</v>
      </c>
      <c r="D8" s="35" t="s">
        <v>158</v>
      </c>
      <c r="E8" s="34">
        <v>40148</v>
      </c>
      <c r="F8" s="151" t="s">
        <v>159</v>
      </c>
      <c r="G8" s="151"/>
      <c r="H8" s="151"/>
      <c r="I8" s="151"/>
      <c r="J8" s="151"/>
      <c r="AB8" s="107"/>
      <c r="AC8" s="21" t="s">
        <v>413</v>
      </c>
      <c r="AD8" s="125">
        <v>7</v>
      </c>
      <c r="AE8" s="107"/>
      <c r="AF8" s="107"/>
    </row>
    <row r="9" spans="1:32" s="21" customFormat="1" ht="54" x14ac:dyDescent="0.15">
      <c r="A9" s="32"/>
      <c r="B9" s="20"/>
      <c r="C9" s="39" t="s">
        <v>160</v>
      </c>
      <c r="D9" s="35" t="s">
        <v>161</v>
      </c>
      <c r="E9" s="34">
        <v>40400</v>
      </c>
      <c r="F9" s="151" t="s">
        <v>162</v>
      </c>
      <c r="G9" s="151"/>
      <c r="H9" s="151"/>
      <c r="I9" s="151"/>
      <c r="J9" s="151"/>
      <c r="AB9" s="107"/>
      <c r="AC9" s="21" t="s">
        <v>414</v>
      </c>
      <c r="AD9" s="125">
        <v>8</v>
      </c>
      <c r="AE9" s="107"/>
      <c r="AF9" s="107"/>
    </row>
    <row r="10" spans="1:32" s="21" customFormat="1" x14ac:dyDescent="0.15">
      <c r="A10" s="32"/>
      <c r="B10" s="20"/>
      <c r="C10" s="37">
        <v>2.4</v>
      </c>
      <c r="D10" s="35" t="s">
        <v>163</v>
      </c>
      <c r="E10" s="34">
        <v>41499</v>
      </c>
      <c r="F10" s="151" t="s">
        <v>164</v>
      </c>
      <c r="G10" s="151"/>
      <c r="H10" s="151"/>
      <c r="I10" s="151"/>
      <c r="J10" s="151"/>
      <c r="AB10" s="107"/>
      <c r="AC10" s="21" t="s">
        <v>415</v>
      </c>
      <c r="AD10" s="125">
        <v>9</v>
      </c>
      <c r="AE10" s="107"/>
      <c r="AF10" s="107"/>
    </row>
    <row r="11" spans="1:32" s="42" customFormat="1" x14ac:dyDescent="0.15">
      <c r="A11" s="32"/>
      <c r="B11" s="20"/>
      <c r="C11" s="39">
        <v>3</v>
      </c>
      <c r="D11" s="44" t="s">
        <v>165</v>
      </c>
      <c r="E11" s="45">
        <v>41760</v>
      </c>
      <c r="F11" s="147" t="s">
        <v>225</v>
      </c>
      <c r="G11" s="147"/>
      <c r="H11" s="147"/>
      <c r="I11" s="147"/>
      <c r="J11" s="147"/>
      <c r="AC11" s="42" t="s">
        <v>416</v>
      </c>
      <c r="AD11" s="42">
        <v>10</v>
      </c>
    </row>
    <row r="12" spans="1:32" s="21" customFormat="1" ht="75" customHeight="1" x14ac:dyDescent="0.15">
      <c r="A12" s="32"/>
      <c r="B12" s="20"/>
      <c r="C12" s="105">
        <v>4</v>
      </c>
      <c r="D12" s="44" t="s">
        <v>136</v>
      </c>
      <c r="E12" s="45">
        <v>42761</v>
      </c>
      <c r="F12" s="147" t="s">
        <v>258</v>
      </c>
      <c r="G12" s="147"/>
      <c r="H12" s="147"/>
      <c r="I12" s="147"/>
      <c r="J12" s="147"/>
      <c r="AB12" s="107"/>
      <c r="AC12" s="21" t="s">
        <v>417</v>
      </c>
      <c r="AD12" s="125">
        <v>11</v>
      </c>
      <c r="AE12" s="107"/>
      <c r="AF12" s="107"/>
    </row>
    <row r="13" spans="1:32" s="21" customFormat="1" ht="148.5" customHeight="1" x14ac:dyDescent="0.15">
      <c r="A13" s="32"/>
      <c r="B13" s="20"/>
      <c r="C13" s="38">
        <v>5</v>
      </c>
      <c r="D13" s="31" t="s">
        <v>403</v>
      </c>
      <c r="E13" s="106" t="s">
        <v>404</v>
      </c>
      <c r="F13" s="148" t="s">
        <v>459</v>
      </c>
      <c r="G13" s="148"/>
      <c r="H13" s="148"/>
      <c r="I13" s="148"/>
      <c r="J13" s="148"/>
      <c r="AB13" s="107"/>
      <c r="AC13" s="21" t="s">
        <v>418</v>
      </c>
      <c r="AD13" s="125">
        <v>12</v>
      </c>
      <c r="AE13" s="107"/>
      <c r="AF13" s="107"/>
    </row>
    <row r="15" spans="1:32" x14ac:dyDescent="0.15">
      <c r="A15" s="9" t="s">
        <v>71</v>
      </c>
      <c r="B15" s="9" t="s">
        <v>78</v>
      </c>
    </row>
    <row r="16" spans="1:32" x14ac:dyDescent="0.15">
      <c r="B16" s="9"/>
    </row>
    <row r="17" spans="2:9" x14ac:dyDescent="0.15">
      <c r="B17" s="19" t="s">
        <v>79</v>
      </c>
      <c r="C17" s="16" t="s">
        <v>12</v>
      </c>
      <c r="D17" s="16"/>
      <c r="E17" s="16"/>
      <c r="F17" s="16"/>
      <c r="G17" s="8"/>
      <c r="H17" s="8"/>
      <c r="I17" s="8"/>
    </row>
    <row r="18" spans="2:9" x14ac:dyDescent="0.15">
      <c r="B18" s="19" t="s">
        <v>80</v>
      </c>
      <c r="C18" s="16" t="s">
        <v>13</v>
      </c>
      <c r="D18" s="16"/>
      <c r="E18" s="16"/>
      <c r="F18" s="16"/>
      <c r="G18" s="8"/>
      <c r="H18" s="8"/>
      <c r="I18" s="8"/>
    </row>
    <row r="19" spans="2:9" x14ac:dyDescent="0.15">
      <c r="B19" s="16"/>
      <c r="C19" s="15" t="s">
        <v>14</v>
      </c>
      <c r="D19" s="16" t="s">
        <v>15</v>
      </c>
      <c r="E19" s="16"/>
      <c r="F19" s="16"/>
      <c r="G19" s="8"/>
      <c r="H19" s="8"/>
      <c r="I19" s="8"/>
    </row>
    <row r="20" spans="2:9" x14ac:dyDescent="0.15">
      <c r="B20" s="16"/>
      <c r="C20" s="15" t="s">
        <v>16</v>
      </c>
      <c r="D20" s="16" t="s">
        <v>17</v>
      </c>
      <c r="E20" s="16"/>
      <c r="F20" s="16"/>
      <c r="G20" s="8"/>
      <c r="H20" s="8"/>
      <c r="I20" s="8"/>
    </row>
    <row r="21" spans="2:9" x14ac:dyDescent="0.15">
      <c r="B21" s="16"/>
      <c r="C21" s="15"/>
      <c r="D21" s="16" t="s">
        <v>18</v>
      </c>
      <c r="E21" s="16"/>
      <c r="F21" s="16"/>
      <c r="G21" s="8"/>
      <c r="H21" s="8"/>
      <c r="I21" s="8"/>
    </row>
    <row r="22" spans="2:9" x14ac:dyDescent="0.15">
      <c r="B22" s="16"/>
      <c r="C22" s="16"/>
      <c r="D22" s="16" t="s">
        <v>19</v>
      </c>
      <c r="E22" s="16"/>
      <c r="F22" s="16"/>
      <c r="G22" s="8"/>
      <c r="H22" s="8"/>
      <c r="I22" s="8"/>
    </row>
    <row r="23" spans="2:9" x14ac:dyDescent="0.15">
      <c r="B23" s="16"/>
      <c r="C23" s="16"/>
      <c r="D23" s="16" t="s">
        <v>20</v>
      </c>
      <c r="E23" s="16"/>
      <c r="F23" s="16"/>
      <c r="G23" s="8"/>
      <c r="H23" s="8"/>
      <c r="I23" s="8"/>
    </row>
    <row r="24" spans="2:9" x14ac:dyDescent="0.15">
      <c r="B24" s="16"/>
      <c r="C24" s="16"/>
      <c r="D24" s="16" t="s">
        <v>21</v>
      </c>
      <c r="E24" s="16"/>
      <c r="F24" s="16"/>
      <c r="G24" s="8"/>
      <c r="H24" s="8"/>
      <c r="I24" s="8"/>
    </row>
    <row r="25" spans="2:9" x14ac:dyDescent="0.15">
      <c r="B25" s="16"/>
      <c r="C25" s="16"/>
      <c r="D25" s="17" t="s">
        <v>22</v>
      </c>
      <c r="E25" s="16"/>
      <c r="F25" s="16"/>
      <c r="G25" s="8"/>
      <c r="H25" s="8"/>
      <c r="I25" s="8"/>
    </row>
    <row r="26" spans="2:9" x14ac:dyDescent="0.15">
      <c r="B26" s="16"/>
      <c r="C26" s="16"/>
      <c r="D26" s="17"/>
      <c r="E26" s="16"/>
      <c r="F26" s="16"/>
      <c r="G26" s="8"/>
      <c r="H26" s="8"/>
      <c r="I26" s="8"/>
    </row>
    <row r="27" spans="2:9" x14ac:dyDescent="0.15">
      <c r="B27" s="19" t="s">
        <v>81</v>
      </c>
      <c r="C27" s="16" t="s">
        <v>138</v>
      </c>
      <c r="F27" s="16"/>
      <c r="G27" s="8"/>
    </row>
    <row r="28" spans="2:9" x14ac:dyDescent="0.15">
      <c r="B28" s="16"/>
      <c r="C28" s="16"/>
      <c r="D28" s="18" t="s">
        <v>82</v>
      </c>
      <c r="E28" s="16" t="s">
        <v>83</v>
      </c>
      <c r="F28" s="16"/>
      <c r="G28" s="8"/>
    </row>
    <row r="29" spans="2:9" x14ac:dyDescent="0.15">
      <c r="B29" s="16"/>
      <c r="C29" s="16"/>
      <c r="D29" s="18" t="s">
        <v>8</v>
      </c>
      <c r="E29" s="16" t="s">
        <v>84</v>
      </c>
      <c r="F29" s="16"/>
      <c r="G29" s="8"/>
    </row>
    <row r="30" spans="2:9" x14ac:dyDescent="0.15">
      <c r="B30" s="16"/>
      <c r="C30" s="16"/>
      <c r="D30" s="18" t="s">
        <v>9</v>
      </c>
      <c r="E30" s="16" t="s">
        <v>85</v>
      </c>
      <c r="F30" s="16"/>
      <c r="G30" s="8"/>
    </row>
    <row r="31" spans="2:9" x14ac:dyDescent="0.15">
      <c r="B31" s="16"/>
      <c r="C31" s="16"/>
      <c r="D31" s="46" t="s">
        <v>226</v>
      </c>
      <c r="E31" s="47" t="s">
        <v>227</v>
      </c>
      <c r="F31" s="16"/>
      <c r="G31" s="8"/>
    </row>
    <row r="32" spans="2:9" x14ac:dyDescent="0.15">
      <c r="B32" s="16"/>
      <c r="C32" s="16"/>
      <c r="D32" s="48" t="s">
        <v>228</v>
      </c>
      <c r="E32" s="49" t="s">
        <v>230</v>
      </c>
      <c r="F32" s="16"/>
      <c r="G32" s="8"/>
    </row>
    <row r="33" spans="2:9" x14ac:dyDescent="0.15">
      <c r="B33" s="16"/>
      <c r="C33" s="16"/>
      <c r="D33" s="48" t="s">
        <v>229</v>
      </c>
      <c r="E33" s="49" t="s">
        <v>231</v>
      </c>
      <c r="F33" s="16"/>
      <c r="G33" s="8"/>
    </row>
    <row r="34" spans="2:9" x14ac:dyDescent="0.15">
      <c r="B34" s="16"/>
      <c r="C34" s="16"/>
      <c r="D34" s="50" t="s">
        <v>234</v>
      </c>
      <c r="E34" s="9" t="s">
        <v>235</v>
      </c>
      <c r="F34" s="16"/>
      <c r="G34" s="8"/>
    </row>
    <row r="35" spans="2:9" x14ac:dyDescent="0.15">
      <c r="B35" s="16"/>
      <c r="C35" s="16"/>
      <c r="D35" s="18" t="s">
        <v>133</v>
      </c>
      <c r="E35" s="16" t="s">
        <v>23</v>
      </c>
      <c r="F35" s="16"/>
      <c r="G35" s="8"/>
    </row>
    <row r="36" spans="2:9" x14ac:dyDescent="0.15">
      <c r="B36" s="16"/>
      <c r="C36" s="16"/>
      <c r="D36" s="18" t="s">
        <v>86</v>
      </c>
      <c r="E36" s="16" t="s">
        <v>87</v>
      </c>
      <c r="F36" s="16"/>
      <c r="G36" s="8"/>
    </row>
    <row r="37" spans="2:9" x14ac:dyDescent="0.15">
      <c r="B37" s="16"/>
      <c r="C37" s="16"/>
      <c r="D37" s="18" t="s">
        <v>132</v>
      </c>
      <c r="E37" s="16" t="s">
        <v>88</v>
      </c>
      <c r="F37" s="16"/>
      <c r="G37" s="8"/>
    </row>
    <row r="38" spans="2:9" x14ac:dyDescent="0.15">
      <c r="B38" s="16"/>
      <c r="C38" s="16"/>
      <c r="D38" s="18" t="s">
        <v>139</v>
      </c>
      <c r="E38" s="16" t="s">
        <v>140</v>
      </c>
      <c r="F38" s="16"/>
      <c r="G38" s="8"/>
    </row>
    <row r="39" spans="2:9" x14ac:dyDescent="0.15">
      <c r="B39" s="16"/>
      <c r="C39" s="16"/>
      <c r="D39" s="18" t="s">
        <v>141</v>
      </c>
      <c r="E39" s="16" t="s">
        <v>142</v>
      </c>
      <c r="F39" s="16"/>
      <c r="G39" s="8"/>
    </row>
    <row r="40" spans="2:9" x14ac:dyDescent="0.15">
      <c r="B40" s="16"/>
      <c r="C40" s="16"/>
      <c r="D40" s="18" t="s">
        <v>24</v>
      </c>
      <c r="E40" s="16" t="s">
        <v>89</v>
      </c>
      <c r="F40" s="16"/>
    </row>
    <row r="41" spans="2:9" x14ac:dyDescent="0.15">
      <c r="D41" s="18" t="s">
        <v>25</v>
      </c>
      <c r="E41" s="16" t="s">
        <v>90</v>
      </c>
    </row>
    <row r="42" spans="2:9" x14ac:dyDescent="0.15">
      <c r="D42" s="18" t="s">
        <v>26</v>
      </c>
      <c r="E42" s="16" t="s">
        <v>91</v>
      </c>
    </row>
    <row r="43" spans="2:9" x14ac:dyDescent="0.15">
      <c r="D43" s="46" t="s">
        <v>27</v>
      </c>
      <c r="E43" s="47" t="s">
        <v>256</v>
      </c>
      <c r="F43" s="9"/>
      <c r="G43" s="9"/>
      <c r="H43" s="9"/>
      <c r="I43" s="9"/>
    </row>
    <row r="44" spans="2:9" x14ac:dyDescent="0.15">
      <c r="D44" s="48" t="s">
        <v>255</v>
      </c>
      <c r="E44" s="49" t="s">
        <v>257</v>
      </c>
      <c r="F44" s="9"/>
      <c r="G44" s="9"/>
      <c r="H44" s="9"/>
      <c r="I44" s="9"/>
    </row>
    <row r="45" spans="2:9" x14ac:dyDescent="0.15">
      <c r="D45" s="18" t="s">
        <v>143</v>
      </c>
      <c r="E45" s="16" t="s">
        <v>144</v>
      </c>
      <c r="F45" s="9"/>
      <c r="G45" s="36" t="s">
        <v>145</v>
      </c>
      <c r="H45" s="9"/>
      <c r="I45" s="9"/>
    </row>
    <row r="46" spans="2:9" x14ac:dyDescent="0.15">
      <c r="D46" s="18" t="s">
        <v>92</v>
      </c>
      <c r="E46" s="16" t="s">
        <v>93</v>
      </c>
      <c r="F46" s="9"/>
      <c r="G46" s="9"/>
      <c r="H46" s="9"/>
      <c r="I46" s="9"/>
    </row>
    <row r="47" spans="2:9" x14ac:dyDescent="0.15">
      <c r="D47" s="18" t="s">
        <v>94</v>
      </c>
      <c r="E47" s="16" t="s">
        <v>95</v>
      </c>
      <c r="F47" s="9"/>
      <c r="G47" s="9"/>
      <c r="H47" s="9"/>
      <c r="I47" s="9"/>
    </row>
    <row r="48" spans="2:9" x14ac:dyDescent="0.15">
      <c r="D48" s="18" t="s">
        <v>96</v>
      </c>
      <c r="E48" s="16" t="s">
        <v>97</v>
      </c>
      <c r="F48" s="9"/>
      <c r="G48" s="9"/>
      <c r="H48" s="9"/>
      <c r="I48" s="9"/>
    </row>
    <row r="49" spans="1:9" x14ac:dyDescent="0.15">
      <c r="D49" s="18"/>
      <c r="E49" s="16"/>
      <c r="F49" s="9"/>
      <c r="G49" s="9"/>
      <c r="H49" s="9"/>
      <c r="I49" s="9"/>
    </row>
    <row r="50" spans="1:9" x14ac:dyDescent="0.15">
      <c r="C50" s="23" t="s">
        <v>146</v>
      </c>
      <c r="D50" s="16" t="s">
        <v>134</v>
      </c>
      <c r="F50" s="9"/>
      <c r="G50" s="9"/>
      <c r="H50" s="9"/>
      <c r="I50" s="9"/>
    </row>
    <row r="51" spans="1:9" x14ac:dyDescent="0.15">
      <c r="C51" s="18"/>
      <c r="D51" s="16" t="s">
        <v>135</v>
      </c>
      <c r="F51" s="9"/>
      <c r="G51" s="9"/>
      <c r="H51" s="9"/>
      <c r="I51" s="9"/>
    </row>
    <row r="52" spans="1:9" x14ac:dyDescent="0.15">
      <c r="C52" s="18"/>
      <c r="D52" s="16"/>
      <c r="F52" s="9"/>
      <c r="G52" s="9"/>
      <c r="H52" s="9"/>
      <c r="I52" s="9"/>
    </row>
    <row r="53" spans="1:9" x14ac:dyDescent="0.15">
      <c r="F53" s="11"/>
      <c r="G53" s="11"/>
      <c r="H53" s="11"/>
      <c r="I53" s="11"/>
    </row>
    <row r="54" spans="1:9" x14ac:dyDescent="0.15">
      <c r="A54" s="9" t="s">
        <v>71</v>
      </c>
      <c r="B54" s="9" t="s">
        <v>72</v>
      </c>
      <c r="D54" s="9"/>
      <c r="E54" s="9"/>
    </row>
    <row r="55" spans="1:9" x14ac:dyDescent="0.15">
      <c r="B55" s="9"/>
      <c r="C55" s="9"/>
      <c r="D55" s="9"/>
    </row>
    <row r="56" spans="1:9" x14ac:dyDescent="0.15">
      <c r="B56" s="9"/>
      <c r="C56" s="11" t="s">
        <v>52</v>
      </c>
      <c r="D56" s="11" t="s">
        <v>53</v>
      </c>
      <c r="E56" s="11"/>
    </row>
    <row r="57" spans="1:9" x14ac:dyDescent="0.15">
      <c r="B57" s="9"/>
      <c r="C57" s="9"/>
      <c r="D57" s="9">
        <v>1</v>
      </c>
      <c r="E57" t="s">
        <v>33</v>
      </c>
    </row>
    <row r="58" spans="1:9" x14ac:dyDescent="0.15">
      <c r="B58" s="9"/>
      <c r="C58" s="9"/>
      <c r="D58" s="9"/>
      <c r="E58" t="s">
        <v>28</v>
      </c>
      <c r="F58" s="9" t="s">
        <v>29</v>
      </c>
    </row>
    <row r="59" spans="1:9" x14ac:dyDescent="0.15">
      <c r="B59" s="9"/>
      <c r="C59" s="9"/>
      <c r="D59" s="9"/>
      <c r="F59" s="9" t="s">
        <v>30</v>
      </c>
    </row>
    <row r="60" spans="1:9" x14ac:dyDescent="0.15">
      <c r="B60" s="9"/>
      <c r="C60" s="9"/>
      <c r="D60" s="9"/>
      <c r="F60" s="16" t="s">
        <v>31</v>
      </c>
    </row>
    <row r="61" spans="1:9" x14ac:dyDescent="0.15">
      <c r="B61" s="9"/>
      <c r="C61" s="9"/>
      <c r="D61" s="9"/>
      <c r="F61" s="9"/>
    </row>
    <row r="62" spans="1:9" x14ac:dyDescent="0.15">
      <c r="B62" s="9"/>
      <c r="C62" s="9"/>
      <c r="D62" s="9"/>
      <c r="E62" t="s">
        <v>62</v>
      </c>
      <c r="F62" s="9"/>
    </row>
    <row r="63" spans="1:9" x14ac:dyDescent="0.15">
      <c r="B63" s="9"/>
      <c r="C63" s="9"/>
      <c r="D63" s="9"/>
      <c r="E63" t="s">
        <v>34</v>
      </c>
      <c r="F63" s="9"/>
    </row>
    <row r="64" spans="1:9" x14ac:dyDescent="0.15">
      <c r="B64" s="9"/>
      <c r="C64" s="9"/>
      <c r="D64" s="9"/>
      <c r="F64" s="9"/>
    </row>
    <row r="65" spans="2:9" x14ac:dyDescent="0.15">
      <c r="B65" s="9"/>
      <c r="C65" s="9"/>
      <c r="D65" s="9">
        <v>2</v>
      </c>
      <c r="E65" t="s">
        <v>44</v>
      </c>
      <c r="F65" s="9"/>
    </row>
    <row r="66" spans="2:9" x14ac:dyDescent="0.15">
      <c r="B66" s="9"/>
      <c r="C66" s="9"/>
      <c r="D66" s="9"/>
      <c r="E66" t="s">
        <v>28</v>
      </c>
      <c r="F66" s="9" t="s">
        <v>98</v>
      </c>
    </row>
    <row r="67" spans="2:9" x14ac:dyDescent="0.15">
      <c r="B67" s="9"/>
      <c r="C67" s="9"/>
      <c r="D67" s="9"/>
      <c r="F67" s="9" t="s">
        <v>99</v>
      </c>
    </row>
    <row r="68" spans="2:9" x14ac:dyDescent="0.15">
      <c r="B68" s="9"/>
      <c r="C68" s="9"/>
      <c r="D68" s="9"/>
      <c r="F68" t="s">
        <v>31</v>
      </c>
    </row>
    <row r="69" spans="2:9" x14ac:dyDescent="0.15">
      <c r="B69" s="9"/>
      <c r="C69" s="9"/>
      <c r="D69" s="9"/>
      <c r="E69" s="9"/>
    </row>
    <row r="70" spans="2:9" x14ac:dyDescent="0.15">
      <c r="B70" s="9"/>
      <c r="C70" s="9"/>
      <c r="D70" s="9"/>
      <c r="E70" s="9"/>
    </row>
    <row r="71" spans="2:9" x14ac:dyDescent="0.15">
      <c r="B71" s="9"/>
      <c r="C71" s="9"/>
      <c r="D71" s="9">
        <v>3</v>
      </c>
      <c r="E71" s="16" t="s">
        <v>45</v>
      </c>
    </row>
    <row r="72" spans="2:9" x14ac:dyDescent="0.15">
      <c r="B72" s="9"/>
      <c r="C72" s="9"/>
      <c r="D72" s="9"/>
      <c r="E72" s="16"/>
    </row>
    <row r="73" spans="2:9" x14ac:dyDescent="0.15">
      <c r="B73" s="9"/>
      <c r="C73" s="9"/>
      <c r="D73" s="9"/>
      <c r="E73" s="9"/>
    </row>
    <row r="74" spans="2:9" x14ac:dyDescent="0.15">
      <c r="B74" s="9"/>
      <c r="C74" s="11" t="s">
        <v>54</v>
      </c>
      <c r="D74" s="43" t="s">
        <v>236</v>
      </c>
      <c r="E74" s="11"/>
    </row>
    <row r="75" spans="2:9" x14ac:dyDescent="0.15">
      <c r="B75" s="9"/>
      <c r="C75" s="9"/>
      <c r="D75" s="9">
        <v>1</v>
      </c>
      <c r="E75" t="s">
        <v>237</v>
      </c>
    </row>
    <row r="76" spans="2:9" x14ac:dyDescent="0.15">
      <c r="B76" s="9"/>
      <c r="C76" s="9"/>
      <c r="D76" s="9">
        <v>2</v>
      </c>
      <c r="E76" t="s">
        <v>238</v>
      </c>
    </row>
    <row r="77" spans="2:9" x14ac:dyDescent="0.15">
      <c r="B77" s="9"/>
      <c r="C77" s="9"/>
      <c r="D77" s="9"/>
    </row>
    <row r="78" spans="2:9" x14ac:dyDescent="0.15">
      <c r="B78" s="9"/>
      <c r="C78" s="9"/>
      <c r="D78" s="23" t="s">
        <v>146</v>
      </c>
      <c r="E78" t="s">
        <v>239</v>
      </c>
    </row>
    <row r="79" spans="2:9" x14ac:dyDescent="0.15">
      <c r="B79" s="9"/>
      <c r="C79" s="9"/>
      <c r="D79" s="9"/>
      <c r="E79" t="s">
        <v>240</v>
      </c>
      <c r="F79" s="12"/>
      <c r="G79" s="12"/>
      <c r="H79" s="12"/>
      <c r="I79" s="12"/>
    </row>
    <row r="80" spans="2:9" x14ac:dyDescent="0.15">
      <c r="B80" s="9"/>
      <c r="C80" s="9"/>
      <c r="D80" s="9"/>
      <c r="F80" s="12"/>
      <c r="G80" s="12"/>
      <c r="H80" s="12"/>
      <c r="I80" s="12"/>
    </row>
    <row r="81" spans="2:9" x14ac:dyDescent="0.15">
      <c r="B81" s="9"/>
      <c r="C81" s="9"/>
      <c r="D81" s="9"/>
      <c r="F81" s="12"/>
      <c r="G81" s="12"/>
      <c r="H81" s="12"/>
      <c r="I81" s="12"/>
    </row>
    <row r="82" spans="2:9" x14ac:dyDescent="0.15">
      <c r="B82" s="9"/>
      <c r="C82" s="11" t="s">
        <v>55</v>
      </c>
      <c r="D82" s="11" t="s">
        <v>101</v>
      </c>
      <c r="E82" s="12"/>
    </row>
    <row r="83" spans="2:9" x14ac:dyDescent="0.15">
      <c r="B83" s="9"/>
      <c r="C83" s="11"/>
      <c r="D83" s="9">
        <v>1</v>
      </c>
      <c r="E83" t="s">
        <v>102</v>
      </c>
    </row>
    <row r="84" spans="2:9" x14ac:dyDescent="0.15">
      <c r="B84" s="9"/>
      <c r="C84" s="9"/>
      <c r="D84" s="9"/>
      <c r="E84" t="s">
        <v>28</v>
      </c>
      <c r="F84" t="s">
        <v>103</v>
      </c>
    </row>
    <row r="85" spans="2:9" x14ac:dyDescent="0.15">
      <c r="B85" s="9"/>
      <c r="C85" s="9"/>
      <c r="D85" s="9"/>
      <c r="F85" t="s">
        <v>104</v>
      </c>
    </row>
    <row r="86" spans="2:9" x14ac:dyDescent="0.15">
      <c r="B86" s="9"/>
      <c r="C86" s="9"/>
      <c r="D86" s="9"/>
    </row>
    <row r="87" spans="2:9" x14ac:dyDescent="0.15">
      <c r="B87" s="9"/>
      <c r="C87" s="9"/>
      <c r="D87" s="9"/>
      <c r="E87" t="s">
        <v>105</v>
      </c>
    </row>
    <row r="88" spans="2:9" x14ac:dyDescent="0.15">
      <c r="B88" s="9"/>
      <c r="C88" s="9"/>
      <c r="D88" s="9"/>
    </row>
    <row r="89" spans="2:9" x14ac:dyDescent="0.15">
      <c r="B89" s="9"/>
      <c r="C89" s="9"/>
      <c r="D89" s="9"/>
    </row>
    <row r="90" spans="2:9" x14ac:dyDescent="0.15">
      <c r="B90" s="9"/>
      <c r="C90" s="9"/>
      <c r="D90" s="9">
        <v>2</v>
      </c>
      <c r="E90" t="s">
        <v>106</v>
      </c>
    </row>
    <row r="91" spans="2:9" x14ac:dyDescent="0.15">
      <c r="B91" s="9"/>
      <c r="C91" s="9"/>
      <c r="D91" s="9"/>
      <c r="E91" t="s">
        <v>28</v>
      </c>
      <c r="F91" t="s">
        <v>107</v>
      </c>
    </row>
    <row r="92" spans="2:9" x14ac:dyDescent="0.15">
      <c r="B92" s="9"/>
      <c r="C92" s="9"/>
      <c r="D92" s="9"/>
      <c r="F92" t="s">
        <v>108</v>
      </c>
    </row>
    <row r="93" spans="2:9" x14ac:dyDescent="0.15">
      <c r="B93" s="9"/>
      <c r="C93" s="9"/>
      <c r="D93" s="9"/>
    </row>
    <row r="94" spans="2:9" x14ac:dyDescent="0.15">
      <c r="B94" s="9"/>
      <c r="C94" s="9"/>
      <c r="D94" s="9"/>
      <c r="E94" t="s">
        <v>109</v>
      </c>
    </row>
    <row r="95" spans="2:9" x14ac:dyDescent="0.15">
      <c r="B95" s="9"/>
      <c r="C95" s="9"/>
      <c r="D95" s="9"/>
    </row>
    <row r="96" spans="2:9" x14ac:dyDescent="0.15">
      <c r="B96" s="9"/>
      <c r="C96" s="9"/>
      <c r="D96" s="23" t="s">
        <v>110</v>
      </c>
      <c r="E96" t="s">
        <v>147</v>
      </c>
    </row>
    <row r="97" spans="2:9" x14ac:dyDescent="0.15">
      <c r="B97" s="9"/>
      <c r="C97" s="9"/>
      <c r="D97" s="9"/>
    </row>
    <row r="98" spans="2:9" x14ac:dyDescent="0.15">
      <c r="B98" s="9"/>
      <c r="C98" s="9"/>
      <c r="D98" s="9"/>
      <c r="F98" s="11"/>
      <c r="G98" s="11"/>
      <c r="H98" s="11"/>
      <c r="I98" s="11"/>
    </row>
    <row r="99" spans="2:9" x14ac:dyDescent="0.15">
      <c r="B99" s="9"/>
      <c r="C99" s="11" t="s">
        <v>56</v>
      </c>
      <c r="D99" s="11" t="s">
        <v>57</v>
      </c>
      <c r="E99" s="11"/>
    </row>
    <row r="100" spans="2:9" x14ac:dyDescent="0.15">
      <c r="B100" s="9"/>
      <c r="C100" s="9"/>
      <c r="D100" s="9"/>
      <c r="E100" s="16" t="s">
        <v>46</v>
      </c>
    </row>
    <row r="101" spans="2:9" x14ac:dyDescent="0.15">
      <c r="B101" s="9"/>
      <c r="C101" s="9"/>
      <c r="D101" s="9"/>
    </row>
    <row r="102" spans="2:9" x14ac:dyDescent="0.15">
      <c r="B102" s="9"/>
      <c r="C102" s="9"/>
      <c r="D102" s="9">
        <v>1</v>
      </c>
      <c r="E102" t="s">
        <v>241</v>
      </c>
    </row>
    <row r="103" spans="2:9" x14ac:dyDescent="0.15">
      <c r="B103" s="9"/>
      <c r="C103" s="9"/>
      <c r="D103" s="9"/>
    </row>
    <row r="104" spans="2:9" x14ac:dyDescent="0.15">
      <c r="B104" s="9"/>
      <c r="C104" s="9"/>
      <c r="D104" s="9">
        <v>2</v>
      </c>
      <c r="E104" t="s">
        <v>32</v>
      </c>
    </row>
    <row r="105" spans="2:9" x14ac:dyDescent="0.15">
      <c r="B105" s="9"/>
      <c r="C105" s="9"/>
      <c r="D105" s="9"/>
    </row>
    <row r="106" spans="2:9" x14ac:dyDescent="0.15">
      <c r="B106" s="9"/>
      <c r="C106" s="9"/>
      <c r="D106" s="9">
        <v>3</v>
      </c>
      <c r="E106" t="s">
        <v>111</v>
      </c>
    </row>
    <row r="107" spans="2:9" x14ac:dyDescent="0.15">
      <c r="B107" s="9"/>
      <c r="C107" s="9"/>
      <c r="D107" s="9"/>
      <c r="E107" s="9"/>
      <c r="F107" t="s">
        <v>112</v>
      </c>
    </row>
    <row r="108" spans="2:9" x14ac:dyDescent="0.15">
      <c r="B108" s="9"/>
      <c r="C108" s="9"/>
      <c r="D108" s="9"/>
      <c r="E108" s="9"/>
      <c r="F108" t="s">
        <v>113</v>
      </c>
    </row>
    <row r="109" spans="2:9" x14ac:dyDescent="0.15">
      <c r="B109" s="9"/>
      <c r="C109" s="9"/>
      <c r="D109" s="9"/>
      <c r="F109" t="s">
        <v>114</v>
      </c>
    </row>
    <row r="110" spans="2:9" x14ac:dyDescent="0.15">
      <c r="B110" s="9"/>
      <c r="C110" s="9"/>
      <c r="D110" s="9"/>
    </row>
    <row r="111" spans="2:9" x14ac:dyDescent="0.15">
      <c r="B111" s="9"/>
      <c r="C111" s="9"/>
      <c r="D111" s="9">
        <v>4</v>
      </c>
      <c r="E111" t="s">
        <v>49</v>
      </c>
    </row>
    <row r="112" spans="2:9" x14ac:dyDescent="0.15">
      <c r="B112" s="9"/>
      <c r="C112" s="9"/>
      <c r="D112" s="9"/>
      <c r="E112" t="s">
        <v>50</v>
      </c>
    </row>
    <row r="113" spans="2:6" x14ac:dyDescent="0.15">
      <c r="B113" s="9"/>
      <c r="C113" s="9"/>
      <c r="D113" s="9"/>
    </row>
    <row r="114" spans="2:6" x14ac:dyDescent="0.15">
      <c r="B114" s="9"/>
      <c r="C114" s="9"/>
      <c r="D114" s="9">
        <v>5</v>
      </c>
      <c r="E114" t="s">
        <v>48</v>
      </c>
    </row>
    <row r="115" spans="2:6" x14ac:dyDescent="0.15">
      <c r="B115" s="9"/>
      <c r="C115" s="9"/>
      <c r="D115" s="9"/>
      <c r="E115" t="s">
        <v>51</v>
      </c>
    </row>
    <row r="116" spans="2:6" x14ac:dyDescent="0.15">
      <c r="B116" s="9"/>
      <c r="C116" s="9"/>
      <c r="D116" s="9"/>
    </row>
    <row r="117" spans="2:6" x14ac:dyDescent="0.15">
      <c r="B117" s="9"/>
      <c r="C117" s="9"/>
      <c r="D117" s="9"/>
      <c r="E117" t="s">
        <v>62</v>
      </c>
    </row>
    <row r="118" spans="2:6" x14ac:dyDescent="0.15">
      <c r="B118" s="9"/>
      <c r="C118" s="9"/>
      <c r="D118" s="9"/>
      <c r="E118" s="9" t="s">
        <v>115</v>
      </c>
    </row>
    <row r="119" spans="2:6" x14ac:dyDescent="0.15">
      <c r="B119" s="9"/>
      <c r="C119" s="9"/>
      <c r="D119" s="9"/>
      <c r="E119" s="9"/>
    </row>
    <row r="120" spans="2:6" x14ac:dyDescent="0.15">
      <c r="B120" s="9"/>
      <c r="C120" s="9"/>
      <c r="D120" s="9"/>
      <c r="E120" s="9"/>
    </row>
    <row r="121" spans="2:6" x14ac:dyDescent="0.15">
      <c r="B121" s="9"/>
      <c r="C121" s="11" t="s">
        <v>63</v>
      </c>
      <c r="D121" s="11" t="s">
        <v>148</v>
      </c>
      <c r="E121" s="9"/>
    </row>
    <row r="122" spans="2:6" x14ac:dyDescent="0.15">
      <c r="B122" s="9"/>
      <c r="C122" s="11"/>
      <c r="D122" s="11"/>
      <c r="E122" s="16" t="s">
        <v>64</v>
      </c>
    </row>
    <row r="123" spans="2:6" x14ac:dyDescent="0.15">
      <c r="B123" s="9"/>
      <c r="C123" s="11"/>
      <c r="D123" s="11"/>
      <c r="E123" s="16"/>
    </row>
    <row r="124" spans="2:6" x14ac:dyDescent="0.15">
      <c r="B124" s="9"/>
      <c r="C124" s="11"/>
      <c r="D124" s="11"/>
      <c r="E124" s="16" t="s">
        <v>65</v>
      </c>
    </row>
    <row r="125" spans="2:6" x14ac:dyDescent="0.15">
      <c r="B125" s="9"/>
      <c r="C125" s="9"/>
      <c r="D125" s="9"/>
      <c r="E125" s="9"/>
    </row>
    <row r="126" spans="2:6" s="40" customFormat="1" x14ac:dyDescent="0.15">
      <c r="E126" s="40" t="s">
        <v>232</v>
      </c>
    </row>
    <row r="127" spans="2:6" s="40" customFormat="1" x14ac:dyDescent="0.15">
      <c r="E127" s="40" t="s">
        <v>149</v>
      </c>
      <c r="F127" s="40" t="s">
        <v>137</v>
      </c>
    </row>
    <row r="128" spans="2:6" s="40" customFormat="1" x14ac:dyDescent="0.15">
      <c r="F128" s="40" t="s">
        <v>233</v>
      </c>
    </row>
    <row r="129" spans="1:9" x14ac:dyDescent="0.15">
      <c r="B129" s="9"/>
      <c r="C129" s="9"/>
      <c r="D129" s="9"/>
      <c r="F129" s="11"/>
      <c r="G129" s="11"/>
      <c r="H129" s="11"/>
      <c r="I129" s="11"/>
    </row>
    <row r="130" spans="1:9" x14ac:dyDescent="0.15">
      <c r="B130" s="9"/>
      <c r="C130" s="11" t="s">
        <v>66</v>
      </c>
      <c r="D130" s="11" t="s">
        <v>58</v>
      </c>
      <c r="E130" s="11"/>
    </row>
    <row r="131" spans="1:9" x14ac:dyDescent="0.15">
      <c r="B131" s="9"/>
      <c r="C131" s="9"/>
      <c r="D131" s="9"/>
      <c r="E131" s="16" t="s">
        <v>47</v>
      </c>
    </row>
    <row r="132" spans="1:9" x14ac:dyDescent="0.15">
      <c r="B132" s="9"/>
      <c r="C132" s="9"/>
      <c r="D132" s="9"/>
      <c r="E132" s="16" t="s">
        <v>28</v>
      </c>
      <c r="F132" s="9" t="s">
        <v>59</v>
      </c>
    </row>
    <row r="133" spans="1:9" x14ac:dyDescent="0.15">
      <c r="B133" s="9"/>
      <c r="C133" s="9"/>
      <c r="D133" s="9"/>
      <c r="E133" s="9"/>
    </row>
    <row r="134" spans="1:9" x14ac:dyDescent="0.15">
      <c r="B134" s="9"/>
      <c r="C134" s="9"/>
      <c r="D134" s="9"/>
      <c r="E134" s="9"/>
      <c r="F134" t="s">
        <v>35</v>
      </c>
    </row>
    <row r="135" spans="1:9" x14ac:dyDescent="0.15">
      <c r="B135" s="9"/>
      <c r="C135" s="9"/>
      <c r="D135" s="9"/>
      <c r="E135" s="9"/>
      <c r="F135" s="10" t="s">
        <v>40</v>
      </c>
      <c r="H135" t="s">
        <v>37</v>
      </c>
    </row>
    <row r="136" spans="1:9" x14ac:dyDescent="0.15">
      <c r="B136" s="9"/>
      <c r="C136" s="9"/>
      <c r="D136" s="9"/>
      <c r="E136" s="9"/>
      <c r="F136" s="10" t="s">
        <v>41</v>
      </c>
      <c r="H136" t="s">
        <v>36</v>
      </c>
    </row>
    <row r="137" spans="1:9" x14ac:dyDescent="0.15">
      <c r="B137" s="9"/>
      <c r="C137" s="9"/>
      <c r="D137" s="9"/>
      <c r="E137" s="9"/>
      <c r="F137" s="9" t="s">
        <v>42</v>
      </c>
      <c r="H137" t="s">
        <v>39</v>
      </c>
    </row>
    <row r="138" spans="1:9" x14ac:dyDescent="0.15">
      <c r="B138" s="9"/>
      <c r="C138" s="9"/>
      <c r="D138" s="9"/>
      <c r="E138" s="9"/>
      <c r="F138" s="9" t="s">
        <v>43</v>
      </c>
      <c r="H138" t="s">
        <v>38</v>
      </c>
    </row>
    <row r="139" spans="1:9" x14ac:dyDescent="0.15">
      <c r="B139" s="9"/>
      <c r="C139" s="9"/>
      <c r="D139" s="9"/>
      <c r="E139" s="9"/>
      <c r="F139" s="9" t="s">
        <v>60</v>
      </c>
      <c r="H139" t="s">
        <v>61</v>
      </c>
    </row>
    <row r="140" spans="1:9" x14ac:dyDescent="0.15">
      <c r="B140" s="9"/>
    </row>
    <row r="143" spans="1:9" x14ac:dyDescent="0.15">
      <c r="A143" s="9" t="s">
        <v>73</v>
      </c>
      <c r="B143" s="9" t="s">
        <v>116</v>
      </c>
    </row>
    <row r="145" spans="2:2" x14ac:dyDescent="0.15">
      <c r="B145" t="s">
        <v>117</v>
      </c>
    </row>
    <row r="146" spans="2:2" x14ac:dyDescent="0.15">
      <c r="B146" t="s">
        <v>74</v>
      </c>
    </row>
    <row r="148" spans="2:2" x14ac:dyDescent="0.15">
      <c r="B148" t="s">
        <v>118</v>
      </c>
    </row>
    <row r="149" spans="2:2" x14ac:dyDescent="0.15">
      <c r="B149" t="s">
        <v>119</v>
      </c>
    </row>
    <row r="151" spans="2:2" x14ac:dyDescent="0.15">
      <c r="B151" t="s">
        <v>75</v>
      </c>
    </row>
    <row r="152" spans="2:2" x14ac:dyDescent="0.15">
      <c r="B152" t="s">
        <v>120</v>
      </c>
    </row>
    <row r="154" spans="2:2" x14ac:dyDescent="0.15">
      <c r="B154" s="14" t="s">
        <v>121</v>
      </c>
    </row>
    <row r="155" spans="2:2" x14ac:dyDescent="0.15">
      <c r="B155" t="s">
        <v>122</v>
      </c>
    </row>
  </sheetData>
  <sheetProtection sheet="1" objects="1" scenarios="1"/>
  <mergeCells count="8">
    <mergeCell ref="F12:J12"/>
    <mergeCell ref="F13:J13"/>
    <mergeCell ref="F6:J6"/>
    <mergeCell ref="F7:J7"/>
    <mergeCell ref="F8:J8"/>
    <mergeCell ref="F9:J9"/>
    <mergeCell ref="F10:J10"/>
    <mergeCell ref="F11:J11"/>
  </mergeCells>
  <phoneticPr fontId="21"/>
  <pageMargins left="0.75" right="0.75" top="1" bottom="1" header="0.51200000000000001" footer="0.51200000000000001"/>
  <pageSetup paperSize="9" orientation="portrait" r:id="rId1"/>
  <headerFooter alignWithMargins="0"/>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G77"/>
  <sheetViews>
    <sheetView workbookViewId="0">
      <selection activeCell="C4" sqref="C4"/>
    </sheetView>
  </sheetViews>
  <sheetFormatPr defaultRowHeight="13.5" x14ac:dyDescent="0.15"/>
  <cols>
    <col min="1" max="1" width="0.75" customWidth="1"/>
    <col min="2" max="2" width="17.25" bestFit="1" customWidth="1"/>
    <col min="3" max="3" width="50.75" bestFit="1" customWidth="1"/>
    <col min="4" max="4" width="10.125" bestFit="1" customWidth="1"/>
  </cols>
  <sheetData>
    <row r="2" spans="1:5" x14ac:dyDescent="0.15">
      <c r="A2" s="108"/>
      <c r="B2" s="108" t="s">
        <v>457</v>
      </c>
      <c r="C2" t="s">
        <v>463</v>
      </c>
      <c r="D2" t="s">
        <v>400</v>
      </c>
      <c r="E2" t="s">
        <v>224</v>
      </c>
    </row>
    <row r="3" spans="1:5" x14ac:dyDescent="0.15">
      <c r="A3" s="112" t="s">
        <v>460</v>
      </c>
      <c r="B3" t="s">
        <v>401</v>
      </c>
      <c r="C3" t="s">
        <v>345</v>
      </c>
      <c r="D3" t="s">
        <v>402</v>
      </c>
    </row>
    <row r="4" spans="1:5" x14ac:dyDescent="0.15">
      <c r="A4" s="112" t="s">
        <v>460</v>
      </c>
      <c r="B4" t="s">
        <v>273</v>
      </c>
      <c r="C4" t="s">
        <v>166</v>
      </c>
      <c r="E4" t="s">
        <v>166</v>
      </c>
    </row>
    <row r="5" spans="1:5" s="41" customFormat="1" x14ac:dyDescent="0.15">
      <c r="A5" s="112" t="s">
        <v>460</v>
      </c>
      <c r="B5" s="41" t="s">
        <v>274</v>
      </c>
      <c r="C5" s="41" t="s">
        <v>242</v>
      </c>
      <c r="E5" s="41" t="s">
        <v>242</v>
      </c>
    </row>
    <row r="6" spans="1:5" s="41" customFormat="1" x14ac:dyDescent="0.15">
      <c r="A6" s="112" t="s">
        <v>460</v>
      </c>
      <c r="B6" s="41" t="s">
        <v>275</v>
      </c>
      <c r="C6" s="41" t="s">
        <v>243</v>
      </c>
      <c r="E6" s="41" t="s">
        <v>243</v>
      </c>
    </row>
    <row r="7" spans="1:5" s="41" customFormat="1" x14ac:dyDescent="0.15">
      <c r="A7" s="112" t="s">
        <v>460</v>
      </c>
      <c r="B7" s="41" t="s">
        <v>276</v>
      </c>
      <c r="C7" s="41" t="s">
        <v>244</v>
      </c>
      <c r="E7" s="41" t="s">
        <v>244</v>
      </c>
    </row>
    <row r="8" spans="1:5" s="41" customFormat="1" x14ac:dyDescent="0.15">
      <c r="A8" s="112" t="s">
        <v>460</v>
      </c>
      <c r="B8" s="41" t="s">
        <v>277</v>
      </c>
      <c r="C8" s="41" t="s">
        <v>245</v>
      </c>
      <c r="E8" s="41" t="s">
        <v>245</v>
      </c>
    </row>
    <row r="9" spans="1:5" x14ac:dyDescent="0.15">
      <c r="A9" s="112" t="s">
        <v>460</v>
      </c>
      <c r="B9" t="s">
        <v>278</v>
      </c>
      <c r="C9" t="s">
        <v>167</v>
      </c>
      <c r="E9" t="s">
        <v>167</v>
      </c>
    </row>
    <row r="10" spans="1:5" x14ac:dyDescent="0.15">
      <c r="A10" s="112" t="s">
        <v>460</v>
      </c>
      <c r="B10" t="s">
        <v>279</v>
      </c>
      <c r="C10" t="s">
        <v>168</v>
      </c>
      <c r="E10" t="s">
        <v>168</v>
      </c>
    </row>
    <row r="11" spans="1:5" x14ac:dyDescent="0.15">
      <c r="A11" s="112" t="s">
        <v>460</v>
      </c>
      <c r="B11" t="s">
        <v>280</v>
      </c>
      <c r="C11" t="s">
        <v>246</v>
      </c>
      <c r="E11" s="41" t="s">
        <v>246</v>
      </c>
    </row>
    <row r="12" spans="1:5" x14ac:dyDescent="0.15">
      <c r="A12" s="112" t="s">
        <v>460</v>
      </c>
      <c r="B12" t="s">
        <v>281</v>
      </c>
      <c r="C12" t="s">
        <v>169</v>
      </c>
      <c r="E12" t="s">
        <v>169</v>
      </c>
    </row>
    <row r="13" spans="1:5" x14ac:dyDescent="0.15">
      <c r="A13" s="112" t="s">
        <v>460</v>
      </c>
      <c r="B13" t="s">
        <v>282</v>
      </c>
      <c r="C13" t="s">
        <v>170</v>
      </c>
      <c r="E13" t="s">
        <v>170</v>
      </c>
    </row>
    <row r="14" spans="1:5" x14ac:dyDescent="0.15">
      <c r="A14" s="112" t="s">
        <v>460</v>
      </c>
      <c r="B14" t="s">
        <v>283</v>
      </c>
      <c r="C14" t="s">
        <v>171</v>
      </c>
      <c r="E14" t="s">
        <v>171</v>
      </c>
    </row>
    <row r="15" spans="1:5" x14ac:dyDescent="0.15">
      <c r="A15" s="112" t="s">
        <v>460</v>
      </c>
      <c r="B15" t="s">
        <v>284</v>
      </c>
      <c r="C15" t="s">
        <v>172</v>
      </c>
      <c r="E15" t="s">
        <v>172</v>
      </c>
    </row>
    <row r="16" spans="1:5" x14ac:dyDescent="0.15">
      <c r="A16" s="112" t="s">
        <v>460</v>
      </c>
      <c r="B16" t="s">
        <v>285</v>
      </c>
      <c r="C16" t="s">
        <v>173</v>
      </c>
      <c r="E16" t="s">
        <v>173</v>
      </c>
    </row>
    <row r="17" spans="1:5" x14ac:dyDescent="0.15">
      <c r="A17" s="112" t="s">
        <v>460</v>
      </c>
      <c r="B17" t="s">
        <v>286</v>
      </c>
      <c r="C17" t="s">
        <v>346</v>
      </c>
      <c r="E17" t="s">
        <v>174</v>
      </c>
    </row>
    <row r="18" spans="1:5" s="41" customFormat="1" x14ac:dyDescent="0.15">
      <c r="A18" s="112" t="s">
        <v>460</v>
      </c>
      <c r="B18" s="41" t="s">
        <v>287</v>
      </c>
      <c r="C18" s="41" t="s">
        <v>247</v>
      </c>
      <c r="E18" s="41" t="s">
        <v>247</v>
      </c>
    </row>
    <row r="19" spans="1:5" s="41" customFormat="1" x14ac:dyDescent="0.15">
      <c r="A19" s="112" t="s">
        <v>460</v>
      </c>
      <c r="B19" s="41" t="s">
        <v>288</v>
      </c>
      <c r="C19" s="41" t="s">
        <v>248</v>
      </c>
      <c r="E19" s="41" t="s">
        <v>248</v>
      </c>
    </row>
    <row r="20" spans="1:5" s="41" customFormat="1" x14ac:dyDescent="0.15">
      <c r="A20" s="112" t="s">
        <v>460</v>
      </c>
      <c r="B20" s="41" t="s">
        <v>289</v>
      </c>
      <c r="C20" s="41" t="s">
        <v>249</v>
      </c>
      <c r="E20" s="41" t="s">
        <v>249</v>
      </c>
    </row>
    <row r="21" spans="1:5" s="41" customFormat="1" x14ac:dyDescent="0.15">
      <c r="A21" s="112" t="s">
        <v>460</v>
      </c>
      <c r="B21" s="41" t="s">
        <v>290</v>
      </c>
      <c r="C21" s="41" t="s">
        <v>250</v>
      </c>
      <c r="E21" s="41" t="s">
        <v>250</v>
      </c>
    </row>
    <row r="22" spans="1:5" s="41" customFormat="1" x14ac:dyDescent="0.15">
      <c r="A22" s="112" t="s">
        <v>460</v>
      </c>
      <c r="B22" s="41" t="s">
        <v>291</v>
      </c>
      <c r="C22" s="41" t="s">
        <v>251</v>
      </c>
      <c r="E22" s="41" t="s">
        <v>251</v>
      </c>
    </row>
    <row r="23" spans="1:5" s="41" customFormat="1" x14ac:dyDescent="0.15">
      <c r="A23" s="112" t="s">
        <v>460</v>
      </c>
      <c r="B23" s="41" t="s">
        <v>292</v>
      </c>
      <c r="C23" s="41" t="s">
        <v>347</v>
      </c>
      <c r="E23" s="41" t="s">
        <v>252</v>
      </c>
    </row>
    <row r="24" spans="1:5" s="41" customFormat="1" x14ac:dyDescent="0.15">
      <c r="A24" s="112" t="s">
        <v>460</v>
      </c>
      <c r="B24" s="41" t="s">
        <v>293</v>
      </c>
      <c r="C24" s="41" t="s">
        <v>348</v>
      </c>
      <c r="E24" s="41" t="s">
        <v>259</v>
      </c>
    </row>
    <row r="25" spans="1:5" x14ac:dyDescent="0.15">
      <c r="A25" s="112" t="s">
        <v>460</v>
      </c>
      <c r="B25" t="s">
        <v>294</v>
      </c>
      <c r="C25" t="s">
        <v>175</v>
      </c>
      <c r="E25" t="s">
        <v>175</v>
      </c>
    </row>
    <row r="26" spans="1:5" x14ac:dyDescent="0.15">
      <c r="A26" s="112" t="s">
        <v>460</v>
      </c>
      <c r="B26" t="s">
        <v>295</v>
      </c>
      <c r="C26" t="s">
        <v>176</v>
      </c>
      <c r="E26" t="s">
        <v>176</v>
      </c>
    </row>
    <row r="27" spans="1:5" x14ac:dyDescent="0.15">
      <c r="A27" s="112"/>
      <c r="B27" s="41" t="s">
        <v>461</v>
      </c>
      <c r="C27" s="41" t="s">
        <v>462</v>
      </c>
    </row>
    <row r="28" spans="1:5" x14ac:dyDescent="0.15">
      <c r="A28" s="112" t="s">
        <v>460</v>
      </c>
      <c r="B28" t="s">
        <v>296</v>
      </c>
      <c r="C28" t="s">
        <v>349</v>
      </c>
      <c r="D28" t="s">
        <v>419</v>
      </c>
      <c r="E28" t="s">
        <v>177</v>
      </c>
    </row>
    <row r="29" spans="1:5" x14ac:dyDescent="0.15">
      <c r="A29" s="112" t="s">
        <v>460</v>
      </c>
      <c r="B29" t="s">
        <v>297</v>
      </c>
      <c r="C29" t="s">
        <v>350</v>
      </c>
      <c r="D29" t="s">
        <v>419</v>
      </c>
      <c r="E29" t="s">
        <v>178</v>
      </c>
    </row>
    <row r="30" spans="1:5" x14ac:dyDescent="0.15">
      <c r="A30" s="112" t="s">
        <v>460</v>
      </c>
      <c r="B30" t="s">
        <v>298</v>
      </c>
      <c r="C30" t="s">
        <v>351</v>
      </c>
      <c r="D30" t="s">
        <v>419</v>
      </c>
      <c r="E30" t="s">
        <v>179</v>
      </c>
    </row>
    <row r="31" spans="1:5" x14ac:dyDescent="0.15">
      <c r="A31" s="112" t="s">
        <v>460</v>
      </c>
      <c r="B31" t="s">
        <v>299</v>
      </c>
      <c r="C31" t="s">
        <v>180</v>
      </c>
      <c r="D31" t="s">
        <v>419</v>
      </c>
      <c r="E31" t="s">
        <v>180</v>
      </c>
    </row>
    <row r="32" spans="1:5" x14ac:dyDescent="0.15">
      <c r="A32" s="112" t="s">
        <v>460</v>
      </c>
      <c r="B32" t="s">
        <v>300</v>
      </c>
      <c r="C32" t="s">
        <v>352</v>
      </c>
      <c r="D32" t="s">
        <v>419</v>
      </c>
      <c r="E32" t="s">
        <v>181</v>
      </c>
    </row>
    <row r="33" spans="1:7" x14ac:dyDescent="0.15">
      <c r="A33" s="112" t="s">
        <v>460</v>
      </c>
      <c r="B33" s="41" t="s">
        <v>301</v>
      </c>
      <c r="C33" s="41" t="s">
        <v>353</v>
      </c>
      <c r="D33" s="41"/>
      <c r="E33" s="41" t="s">
        <v>253</v>
      </c>
      <c r="F33" s="41"/>
      <c r="G33" s="41"/>
    </row>
    <row r="34" spans="1:7" x14ac:dyDescent="0.15">
      <c r="A34" s="112" t="s">
        <v>460</v>
      </c>
      <c r="B34" s="41" t="s">
        <v>302</v>
      </c>
      <c r="C34" s="41" t="s">
        <v>354</v>
      </c>
      <c r="D34" s="41"/>
      <c r="E34" s="41" t="s">
        <v>254</v>
      </c>
      <c r="F34" s="41"/>
      <c r="G34" s="41"/>
    </row>
    <row r="35" spans="1:7" x14ac:dyDescent="0.15">
      <c r="A35" s="112" t="s">
        <v>460</v>
      </c>
      <c r="B35" t="s">
        <v>303</v>
      </c>
      <c r="C35" t="s">
        <v>355</v>
      </c>
      <c r="E35" t="s">
        <v>182</v>
      </c>
    </row>
    <row r="36" spans="1:7" x14ac:dyDescent="0.15">
      <c r="A36" s="112" t="s">
        <v>460</v>
      </c>
      <c r="B36" t="s">
        <v>304</v>
      </c>
      <c r="C36" t="s">
        <v>356</v>
      </c>
      <c r="E36" t="s">
        <v>183</v>
      </c>
    </row>
    <row r="37" spans="1:7" x14ac:dyDescent="0.15">
      <c r="A37" s="112" t="s">
        <v>460</v>
      </c>
      <c r="B37" t="s">
        <v>305</v>
      </c>
      <c r="C37" t="s">
        <v>357</v>
      </c>
      <c r="E37" t="s">
        <v>184</v>
      </c>
    </row>
    <row r="38" spans="1:7" x14ac:dyDescent="0.15">
      <c r="A38" s="112" t="s">
        <v>460</v>
      </c>
      <c r="B38" t="s">
        <v>306</v>
      </c>
      <c r="C38" t="s">
        <v>358</v>
      </c>
      <c r="E38" t="s">
        <v>185</v>
      </c>
    </row>
    <row r="39" spans="1:7" x14ac:dyDescent="0.15">
      <c r="A39" s="112" t="s">
        <v>460</v>
      </c>
      <c r="B39" t="s">
        <v>307</v>
      </c>
      <c r="C39" t="s">
        <v>359</v>
      </c>
      <c r="E39" t="s">
        <v>186</v>
      </c>
    </row>
    <row r="40" spans="1:7" x14ac:dyDescent="0.15">
      <c r="A40" s="112" t="s">
        <v>460</v>
      </c>
      <c r="B40" t="s">
        <v>308</v>
      </c>
      <c r="C40" t="s">
        <v>187</v>
      </c>
      <c r="E40" t="s">
        <v>187</v>
      </c>
    </row>
    <row r="41" spans="1:7" x14ac:dyDescent="0.15">
      <c r="A41" s="112" t="s">
        <v>460</v>
      </c>
      <c r="B41" t="s">
        <v>309</v>
      </c>
      <c r="C41" t="s">
        <v>360</v>
      </c>
      <c r="E41" t="s">
        <v>188</v>
      </c>
    </row>
    <row r="42" spans="1:7" x14ac:dyDescent="0.15">
      <c r="A42" s="112" t="s">
        <v>460</v>
      </c>
      <c r="B42" t="s">
        <v>310</v>
      </c>
      <c r="C42" t="s">
        <v>189</v>
      </c>
      <c r="E42" t="s">
        <v>189</v>
      </c>
    </row>
    <row r="43" spans="1:7" x14ac:dyDescent="0.15">
      <c r="A43" s="112" t="s">
        <v>460</v>
      </c>
      <c r="B43" t="s">
        <v>311</v>
      </c>
      <c r="C43" t="s">
        <v>361</v>
      </c>
      <c r="E43" t="s">
        <v>190</v>
      </c>
    </row>
    <row r="44" spans="1:7" x14ac:dyDescent="0.15">
      <c r="A44" s="112" t="s">
        <v>460</v>
      </c>
      <c r="B44" t="s">
        <v>312</v>
      </c>
      <c r="C44" t="s">
        <v>362</v>
      </c>
      <c r="E44" t="s">
        <v>191</v>
      </c>
    </row>
    <row r="45" spans="1:7" x14ac:dyDescent="0.15">
      <c r="A45" s="112" t="s">
        <v>460</v>
      </c>
      <c r="B45" t="s">
        <v>313</v>
      </c>
      <c r="C45" t="s">
        <v>363</v>
      </c>
      <c r="E45" t="s">
        <v>192</v>
      </c>
    </row>
    <row r="46" spans="1:7" x14ac:dyDescent="0.15">
      <c r="A46" s="112" t="s">
        <v>460</v>
      </c>
      <c r="B46" t="s">
        <v>314</v>
      </c>
      <c r="C46" t="s">
        <v>364</v>
      </c>
      <c r="E46" t="s">
        <v>193</v>
      </c>
    </row>
    <row r="47" spans="1:7" x14ac:dyDescent="0.15">
      <c r="A47" s="112" t="s">
        <v>460</v>
      </c>
      <c r="B47" t="s">
        <v>315</v>
      </c>
      <c r="C47" t="s">
        <v>365</v>
      </c>
      <c r="E47" t="s">
        <v>194</v>
      </c>
    </row>
    <row r="48" spans="1:7" x14ac:dyDescent="0.15">
      <c r="A48" s="112" t="s">
        <v>460</v>
      </c>
      <c r="B48" t="s">
        <v>316</v>
      </c>
      <c r="C48" t="s">
        <v>366</v>
      </c>
      <c r="E48" t="s">
        <v>195</v>
      </c>
    </row>
    <row r="49" spans="1:5" x14ac:dyDescent="0.15">
      <c r="A49" s="112" t="s">
        <v>460</v>
      </c>
      <c r="B49" t="s">
        <v>317</v>
      </c>
      <c r="C49" t="s">
        <v>367</v>
      </c>
      <c r="E49" t="s">
        <v>196</v>
      </c>
    </row>
    <row r="50" spans="1:5" x14ac:dyDescent="0.15">
      <c r="A50" s="112" t="s">
        <v>460</v>
      </c>
      <c r="B50" t="s">
        <v>318</v>
      </c>
      <c r="C50" t="s">
        <v>368</v>
      </c>
      <c r="E50" t="s">
        <v>197</v>
      </c>
    </row>
    <row r="51" spans="1:5" x14ac:dyDescent="0.15">
      <c r="A51" s="112" t="s">
        <v>460</v>
      </c>
      <c r="B51" t="s">
        <v>319</v>
      </c>
      <c r="C51" t="s">
        <v>369</v>
      </c>
      <c r="E51" t="s">
        <v>198</v>
      </c>
    </row>
    <row r="52" spans="1:5" x14ac:dyDescent="0.15">
      <c r="A52" s="112" t="s">
        <v>460</v>
      </c>
      <c r="B52" t="s">
        <v>320</v>
      </c>
      <c r="C52" t="s">
        <v>370</v>
      </c>
      <c r="E52" t="s">
        <v>199</v>
      </c>
    </row>
    <row r="53" spans="1:5" x14ac:dyDescent="0.15">
      <c r="A53" s="112" t="s">
        <v>460</v>
      </c>
      <c r="B53" t="s">
        <v>321</v>
      </c>
      <c r="C53" t="s">
        <v>371</v>
      </c>
      <c r="E53" t="s">
        <v>200</v>
      </c>
    </row>
    <row r="54" spans="1:5" x14ac:dyDescent="0.15">
      <c r="A54" s="112" t="s">
        <v>460</v>
      </c>
      <c r="B54" t="s">
        <v>322</v>
      </c>
      <c r="C54" t="s">
        <v>372</v>
      </c>
      <c r="D54" t="s">
        <v>419</v>
      </c>
      <c r="E54" t="s">
        <v>201</v>
      </c>
    </row>
    <row r="55" spans="1:5" x14ac:dyDescent="0.15">
      <c r="A55" s="112" t="s">
        <v>460</v>
      </c>
      <c r="B55" t="s">
        <v>323</v>
      </c>
      <c r="C55" t="s">
        <v>373</v>
      </c>
      <c r="E55" t="s">
        <v>202</v>
      </c>
    </row>
    <row r="56" spans="1:5" x14ac:dyDescent="0.15">
      <c r="A56" s="112" t="s">
        <v>460</v>
      </c>
      <c r="B56" t="s">
        <v>324</v>
      </c>
      <c r="C56" t="s">
        <v>374</v>
      </c>
      <c r="E56" t="s">
        <v>203</v>
      </c>
    </row>
    <row r="57" spans="1:5" x14ac:dyDescent="0.15">
      <c r="A57" s="112" t="s">
        <v>460</v>
      </c>
      <c r="B57" t="s">
        <v>325</v>
      </c>
      <c r="C57" t="s">
        <v>375</v>
      </c>
      <c r="E57" t="s">
        <v>204</v>
      </c>
    </row>
    <row r="58" spans="1:5" x14ac:dyDescent="0.15">
      <c r="A58" s="112" t="s">
        <v>460</v>
      </c>
      <c r="B58" t="s">
        <v>326</v>
      </c>
      <c r="C58" t="s">
        <v>376</v>
      </c>
      <c r="E58" t="s">
        <v>205</v>
      </c>
    </row>
    <row r="59" spans="1:5" x14ac:dyDescent="0.15">
      <c r="A59" s="112" t="s">
        <v>460</v>
      </c>
      <c r="B59" t="s">
        <v>327</v>
      </c>
      <c r="C59" t="s">
        <v>377</v>
      </c>
      <c r="E59" t="s">
        <v>206</v>
      </c>
    </row>
    <row r="60" spans="1:5" x14ac:dyDescent="0.15">
      <c r="A60" s="112" t="s">
        <v>460</v>
      </c>
      <c r="B60" t="s">
        <v>328</v>
      </c>
      <c r="C60" t="s">
        <v>378</v>
      </c>
      <c r="E60" t="s">
        <v>207</v>
      </c>
    </row>
    <row r="61" spans="1:5" x14ac:dyDescent="0.15">
      <c r="A61" s="112" t="s">
        <v>460</v>
      </c>
      <c r="B61" t="s">
        <v>329</v>
      </c>
      <c r="C61" t="s">
        <v>379</v>
      </c>
      <c r="E61" t="s">
        <v>208</v>
      </c>
    </row>
    <row r="62" spans="1:5" x14ac:dyDescent="0.15">
      <c r="A62" s="112" t="s">
        <v>460</v>
      </c>
      <c r="B62" t="s">
        <v>330</v>
      </c>
      <c r="C62" t="s">
        <v>380</v>
      </c>
      <c r="E62" t="s">
        <v>209</v>
      </c>
    </row>
    <row r="63" spans="1:5" x14ac:dyDescent="0.15">
      <c r="A63" s="112" t="s">
        <v>460</v>
      </c>
      <c r="B63" t="s">
        <v>331</v>
      </c>
      <c r="C63" t="s">
        <v>381</v>
      </c>
      <c r="D63" t="s">
        <v>419</v>
      </c>
      <c r="E63" t="s">
        <v>210</v>
      </c>
    </row>
    <row r="64" spans="1:5" x14ac:dyDescent="0.15">
      <c r="A64" s="112" t="s">
        <v>460</v>
      </c>
      <c r="B64" t="s">
        <v>332</v>
      </c>
      <c r="C64" t="s">
        <v>382</v>
      </c>
      <c r="D64" t="s">
        <v>419</v>
      </c>
      <c r="E64" t="s">
        <v>211</v>
      </c>
    </row>
    <row r="65" spans="1:5" x14ac:dyDescent="0.15">
      <c r="A65" s="112" t="s">
        <v>460</v>
      </c>
      <c r="B65" t="s">
        <v>333</v>
      </c>
      <c r="C65" t="s">
        <v>383</v>
      </c>
      <c r="E65" t="s">
        <v>212</v>
      </c>
    </row>
    <row r="66" spans="1:5" x14ac:dyDescent="0.15">
      <c r="A66" s="112" t="s">
        <v>460</v>
      </c>
      <c r="B66" t="s">
        <v>334</v>
      </c>
      <c r="C66" t="s">
        <v>384</v>
      </c>
      <c r="E66" t="s">
        <v>213</v>
      </c>
    </row>
    <row r="67" spans="1:5" x14ac:dyDescent="0.15">
      <c r="A67" s="112" t="s">
        <v>460</v>
      </c>
      <c r="B67" t="s">
        <v>335</v>
      </c>
      <c r="C67" t="s">
        <v>385</v>
      </c>
      <c r="E67" t="s">
        <v>214</v>
      </c>
    </row>
    <row r="68" spans="1:5" x14ac:dyDescent="0.15">
      <c r="A68" s="112" t="s">
        <v>460</v>
      </c>
      <c r="B68" t="s">
        <v>336</v>
      </c>
      <c r="C68" t="s">
        <v>386</v>
      </c>
      <c r="E68" t="s">
        <v>215</v>
      </c>
    </row>
    <row r="69" spans="1:5" x14ac:dyDescent="0.15">
      <c r="A69" s="112" t="s">
        <v>460</v>
      </c>
      <c r="B69" t="s">
        <v>337</v>
      </c>
      <c r="C69" t="s">
        <v>387</v>
      </c>
      <c r="E69" t="s">
        <v>216</v>
      </c>
    </row>
    <row r="70" spans="1:5" x14ac:dyDescent="0.15">
      <c r="A70" s="112" t="s">
        <v>460</v>
      </c>
      <c r="B70" t="s">
        <v>338</v>
      </c>
      <c r="C70" t="s">
        <v>388</v>
      </c>
      <c r="E70" t="s">
        <v>218</v>
      </c>
    </row>
    <row r="71" spans="1:5" x14ac:dyDescent="0.15">
      <c r="A71" s="112" t="s">
        <v>460</v>
      </c>
      <c r="B71" t="s">
        <v>339</v>
      </c>
      <c r="C71" t="s">
        <v>219</v>
      </c>
      <c r="E71" t="s">
        <v>219</v>
      </c>
    </row>
    <row r="72" spans="1:5" x14ac:dyDescent="0.15">
      <c r="A72" s="112" t="s">
        <v>460</v>
      </c>
      <c r="B72" t="s">
        <v>340</v>
      </c>
      <c r="C72" t="s">
        <v>389</v>
      </c>
      <c r="E72" t="s">
        <v>220</v>
      </c>
    </row>
    <row r="73" spans="1:5" x14ac:dyDescent="0.15">
      <c r="A73" s="112" t="s">
        <v>460</v>
      </c>
      <c r="B73" t="s">
        <v>341</v>
      </c>
      <c r="C73" t="s">
        <v>390</v>
      </c>
      <c r="E73" t="s">
        <v>221</v>
      </c>
    </row>
    <row r="74" spans="1:5" x14ac:dyDescent="0.15">
      <c r="A74" s="112" t="s">
        <v>460</v>
      </c>
      <c r="B74" t="s">
        <v>342</v>
      </c>
      <c r="C74" t="s">
        <v>391</v>
      </c>
      <c r="E74" t="s">
        <v>222</v>
      </c>
    </row>
    <row r="75" spans="1:5" x14ac:dyDescent="0.15">
      <c r="A75" s="112" t="s">
        <v>460</v>
      </c>
      <c r="B75" t="s">
        <v>343</v>
      </c>
      <c r="C75" t="s">
        <v>392</v>
      </c>
      <c r="E75" t="s">
        <v>223</v>
      </c>
    </row>
    <row r="76" spans="1:5" x14ac:dyDescent="0.15">
      <c r="A76" s="112" t="s">
        <v>460</v>
      </c>
      <c r="B76" t="s">
        <v>344</v>
      </c>
      <c r="C76" t="s">
        <v>393</v>
      </c>
      <c r="E76" t="s">
        <v>217</v>
      </c>
    </row>
    <row r="77" spans="1:5" s="114" customFormat="1" x14ac:dyDescent="0.15">
      <c r="B77" s="152" t="s">
        <v>464</v>
      </c>
      <c r="C77" s="152"/>
      <c r="D77" s="152"/>
      <c r="E77" s="152"/>
    </row>
  </sheetData>
  <mergeCells count="1">
    <mergeCell ref="B77:E77"/>
  </mergeCells>
  <phoneticPr fontId="21"/>
  <pageMargins left="0.75" right="0.75" top="1" bottom="1" header="0.51200000000000001" footer="0.51200000000000001"/>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24"/>
  <sheetViews>
    <sheetView workbookViewId="0">
      <selection activeCell="C2" sqref="C2"/>
    </sheetView>
  </sheetViews>
  <sheetFormatPr defaultRowHeight="13.5" x14ac:dyDescent="0.15"/>
  <cols>
    <col min="1" max="1" width="12.625" customWidth="1"/>
    <col min="2" max="2" width="36.375" bestFit="1" customWidth="1"/>
    <col min="3" max="3" width="10.25" customWidth="1"/>
    <col min="4" max="4" width="2.25" customWidth="1"/>
    <col min="5" max="5" width="9.625" customWidth="1"/>
    <col min="6" max="6" width="30.625" bestFit="1" customWidth="1"/>
  </cols>
  <sheetData>
    <row r="1" spans="1:6" x14ac:dyDescent="0.15">
      <c r="A1" t="s">
        <v>270</v>
      </c>
      <c r="B1" t="s">
        <v>271</v>
      </c>
      <c r="C1" t="s">
        <v>272</v>
      </c>
      <c r="E1" t="s">
        <v>429</v>
      </c>
      <c r="F1" t="s">
        <v>430</v>
      </c>
    </row>
    <row r="2" spans="1:6" x14ac:dyDescent="0.15">
      <c r="A2" t="s">
        <v>260</v>
      </c>
      <c r="B2" t="s">
        <v>433</v>
      </c>
      <c r="C2">
        <v>1</v>
      </c>
      <c r="E2">
        <v>0</v>
      </c>
      <c r="F2" t="s">
        <v>420</v>
      </c>
    </row>
    <row r="3" spans="1:6" x14ac:dyDescent="0.15">
      <c r="A3" t="s">
        <v>8</v>
      </c>
      <c r="B3" t="s">
        <v>434</v>
      </c>
      <c r="C3">
        <v>6</v>
      </c>
      <c r="E3">
        <v>1</v>
      </c>
      <c r="F3" t="s">
        <v>421</v>
      </c>
    </row>
    <row r="4" spans="1:6" x14ac:dyDescent="0.15">
      <c r="A4" t="s">
        <v>9</v>
      </c>
      <c r="B4" t="s">
        <v>435</v>
      </c>
      <c r="C4">
        <v>6</v>
      </c>
      <c r="E4">
        <v>2</v>
      </c>
      <c r="F4" t="s">
        <v>422</v>
      </c>
    </row>
    <row r="5" spans="1:6" x14ac:dyDescent="0.15">
      <c r="A5" t="s">
        <v>226</v>
      </c>
      <c r="B5" t="s">
        <v>436</v>
      </c>
      <c r="C5">
        <v>0</v>
      </c>
      <c r="E5">
        <v>3</v>
      </c>
      <c r="F5" t="s">
        <v>423</v>
      </c>
    </row>
    <row r="6" spans="1:6" x14ac:dyDescent="0.15">
      <c r="A6" t="s">
        <v>228</v>
      </c>
      <c r="B6" t="s">
        <v>437</v>
      </c>
      <c r="C6">
        <v>2</v>
      </c>
      <c r="E6">
        <v>4</v>
      </c>
      <c r="F6" t="s">
        <v>424</v>
      </c>
    </row>
    <row r="7" spans="1:6" x14ac:dyDescent="0.15">
      <c r="A7" t="s">
        <v>229</v>
      </c>
      <c r="B7" t="s">
        <v>438</v>
      </c>
      <c r="C7">
        <v>2</v>
      </c>
      <c r="E7">
        <v>5</v>
      </c>
      <c r="F7" t="s">
        <v>425</v>
      </c>
    </row>
    <row r="8" spans="1:6" x14ac:dyDescent="0.15">
      <c r="A8" t="s">
        <v>234</v>
      </c>
      <c r="B8" t="s">
        <v>439</v>
      </c>
      <c r="C8">
        <v>2</v>
      </c>
      <c r="E8">
        <v>6</v>
      </c>
      <c r="F8" t="s">
        <v>426</v>
      </c>
    </row>
    <row r="9" spans="1:6" x14ac:dyDescent="0.15">
      <c r="A9" t="s">
        <v>261</v>
      </c>
      <c r="B9" t="s">
        <v>440</v>
      </c>
      <c r="C9">
        <v>3</v>
      </c>
      <c r="E9">
        <v>7</v>
      </c>
      <c r="F9" t="s">
        <v>427</v>
      </c>
    </row>
    <row r="10" spans="1:6" x14ac:dyDescent="0.15">
      <c r="A10" t="s">
        <v>262</v>
      </c>
      <c r="B10" t="s">
        <v>441</v>
      </c>
      <c r="C10">
        <v>3</v>
      </c>
      <c r="E10">
        <v>51</v>
      </c>
      <c r="F10" t="s">
        <v>431</v>
      </c>
    </row>
    <row r="11" spans="1:6" x14ac:dyDescent="0.15">
      <c r="A11" t="s">
        <v>263</v>
      </c>
      <c r="B11" t="s">
        <v>442</v>
      </c>
      <c r="C11">
        <v>3</v>
      </c>
      <c r="E11">
        <v>52</v>
      </c>
      <c r="F11" t="s">
        <v>428</v>
      </c>
    </row>
    <row r="12" spans="1:6" x14ac:dyDescent="0.15">
      <c r="A12" t="s">
        <v>264</v>
      </c>
      <c r="B12" t="s">
        <v>443</v>
      </c>
      <c r="C12">
        <v>3</v>
      </c>
    </row>
    <row r="13" spans="1:6" x14ac:dyDescent="0.15">
      <c r="A13" t="s">
        <v>265</v>
      </c>
      <c r="B13" t="s">
        <v>444</v>
      </c>
      <c r="C13">
        <v>3</v>
      </c>
    </row>
    <row r="14" spans="1:6" x14ac:dyDescent="0.15">
      <c r="A14" t="s">
        <v>24</v>
      </c>
      <c r="B14" t="s">
        <v>445</v>
      </c>
      <c r="C14">
        <v>1</v>
      </c>
    </row>
    <row r="15" spans="1:6" x14ac:dyDescent="0.15">
      <c r="A15" t="s">
        <v>25</v>
      </c>
      <c r="B15" t="s">
        <v>446</v>
      </c>
      <c r="C15">
        <v>2</v>
      </c>
    </row>
    <row r="16" spans="1:6" x14ac:dyDescent="0.15">
      <c r="A16" t="s">
        <v>26</v>
      </c>
      <c r="B16" t="s">
        <v>447</v>
      </c>
      <c r="C16">
        <v>7</v>
      </c>
    </row>
    <row r="17" spans="1:3" x14ac:dyDescent="0.15">
      <c r="A17" t="s">
        <v>27</v>
      </c>
      <c r="B17" t="s">
        <v>448</v>
      </c>
      <c r="C17">
        <v>0</v>
      </c>
    </row>
    <row r="18" spans="1:3" x14ac:dyDescent="0.15">
      <c r="A18" t="s">
        <v>255</v>
      </c>
      <c r="B18" t="s">
        <v>449</v>
      </c>
      <c r="C18">
        <v>4</v>
      </c>
    </row>
    <row r="19" spans="1:3" x14ac:dyDescent="0.15">
      <c r="A19" t="s">
        <v>266</v>
      </c>
      <c r="B19" t="s">
        <v>450</v>
      </c>
      <c r="C19">
        <v>4</v>
      </c>
    </row>
    <row r="20" spans="1:3" x14ac:dyDescent="0.15">
      <c r="A20" t="s">
        <v>267</v>
      </c>
      <c r="B20" t="s">
        <v>451</v>
      </c>
      <c r="C20">
        <v>5</v>
      </c>
    </row>
    <row r="21" spans="1:3" x14ac:dyDescent="0.15">
      <c r="A21" t="s">
        <v>432</v>
      </c>
      <c r="B21" t="s">
        <v>454</v>
      </c>
      <c r="C21">
        <v>51</v>
      </c>
    </row>
    <row r="22" spans="1:3" x14ac:dyDescent="0.15">
      <c r="A22" t="s">
        <v>455</v>
      </c>
      <c r="B22" t="s">
        <v>456</v>
      </c>
      <c r="C22">
        <v>52</v>
      </c>
    </row>
    <row r="23" spans="1:3" x14ac:dyDescent="0.15">
      <c r="A23" t="s">
        <v>268</v>
      </c>
      <c r="B23" t="s">
        <v>452</v>
      </c>
      <c r="C23">
        <v>5</v>
      </c>
    </row>
    <row r="24" spans="1:3" x14ac:dyDescent="0.15">
      <c r="A24" t="s">
        <v>269</v>
      </c>
      <c r="B24" t="s">
        <v>453</v>
      </c>
      <c r="C24">
        <v>5</v>
      </c>
    </row>
  </sheetData>
  <sheetProtection sheet="1" objects="1" scenarios="1"/>
  <phoneticPr fontId="21"/>
  <pageMargins left="0.7" right="0.7" top="0.75" bottom="0.75" header="0.3" footer="0.3"/>
  <pageSetup paperSize="9" orientation="portrait" verticalDpi="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Form</vt:lpstr>
      <vt:lpstr>NOTES</vt:lpstr>
      <vt:lpstr>Jobcodes</vt:lpstr>
      <vt:lpstr>Status</vt:lpstr>
      <vt:lpstr>JOBCODES</vt:lpstr>
      <vt:lpstr>Form!Print_Area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Kenneth Reyes</dc:creator>
  <cp:lastModifiedBy>Monina Martin</cp:lastModifiedBy>
  <cp:lastPrinted>2019-01-23T01:14:39Z</cp:lastPrinted>
  <dcterms:created xsi:type="dcterms:W3CDTF">2001-05-01T10:01:42Z</dcterms:created>
  <dcterms:modified xsi:type="dcterms:W3CDTF">2019-02-01T09:30:15Z</dcterms:modified>
</cp:coreProperties>
</file>